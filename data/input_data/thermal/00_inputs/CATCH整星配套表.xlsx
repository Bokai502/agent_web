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ATCH整星配套表"/>
    <sheet r:id="rId2" sheetId="2" name="生成说明"/>
  </sheets>
  <definedNames>
    <definedName name="_xlnm._FilterDatabase" localSheetId="0">=CATCH整星配套表!$A$1:$G$48</definedName>
  </definedNames>
  <calcPr fullCalcOnLoad="1"/>
</workbook>
</file>

<file path=xl/sharedStrings.xml><?xml version="1.0" encoding="utf-8"?>
<sst xmlns="http://schemas.openxmlformats.org/spreadsheetml/2006/main" count="161" uniqueCount="119">
  <si>
    <t>来源热仿真数据库</t>
  </si>
  <si>
    <t>/data/zxk/open_codex_web_dev_v2/backend/workflow_agents/thermal_skills/config-editor/references/热仿真数据库.json</t>
  </si>
  <si>
    <t>参考模板</t>
  </si>
  <si>
    <t>/data/zxk/open_codex_web_dev_v2/data/input_data/catch_task/配套表.xlsx</t>
  </si>
  <si>
    <t>CATCH manifest</t>
  </si>
  <si>
    <t>/data/zxk/open_codex_web_dev_v2/data/input_data/catch_task/docs/component_manifest.json</t>
  </si>
  <si>
    <t>生成文件</t>
  </si>
  <si>
    <t>/data/zxk/open_codex_web_dev_v2/data/input_data/catch_task/CATCH整星配套表.xlsx</t>
  </si>
  <si>
    <t>数据库 CATCH 记录数</t>
  </si>
  <si>
    <t>manifest-only 补充记录数</t>
  </si>
  <si>
    <t>总组件数</t>
  </si>
  <si>
    <t>质量换算</t>
  </si>
  <si>
    <t>质量 g / 1000 -&gt; 重量（Kg）</t>
  </si>
  <si>
    <t>包络尺寸</t>
  </si>
  <si>
    <t>长 mm x 宽 mm x 高 mm；若数据库无尺寸则使用 manifest bbox</t>
  </si>
  <si>
    <t>稳态功耗</t>
  </si>
  <si>
    <t>主模式功耗，支持 W/mW 字符串解析</t>
  </si>
  <si>
    <t>峰值功耗</t>
  </si>
  <si>
    <t>校准/冷却/主模式中大于稳态的最大值；否则留空</t>
  </si>
  <si>
    <t>缺失提示</t>
  </si>
  <si>
    <t>黄色行表示仅在 component_manifest.json 中正式列出，热仿真数据库缺质量/功耗明细</t>
  </si>
  <si>
    <t>总质量修正</t>
  </si>
  <si>
    <t>用户指定 CATCH 总质量为 44 kg；已列单机质量 19.384197 kg，新增修正质量 24.615803 kg。</t>
  </si>
  <si>
    <t>质量等比例放大</t>
  </si>
  <si>
    <t>按用户要求删除补足行，将 37 个已有质量的器件从合计 19.384197 kg 按倍率 2.269890262 等比例放大到 44.000000 kg；无质量值的器件未参与缩放。</t>
  </si>
  <si>
    <t>产品名称</t>
  </si>
  <si>
    <t>重量（Kg）</t>
  </si>
  <si>
    <t>包络尺寸（mm）</t>
  </si>
  <si>
    <t>稳态功耗（W）</t>
  </si>
  <si>
    <t>峰值功耗（W）</t>
  </si>
  <si>
    <t>工作温度（℃）</t>
  </si>
  <si>
    <t>配套单位</t>
  </si>
  <si>
    <t>结构与机构分系统</t>
  </si>
  <si>
    <t>星箭分离机构 WF50</t>
  </si>
  <si>
    <t>312.264x312.264x65.07</t>
  </si>
  <si>
    <t>CATCH</t>
  </si>
  <si>
    <t>行程开关 1</t>
  </si>
  <si>
    <t>35x17x57.5</t>
  </si>
  <si>
    <t>行程开关 2</t>
  </si>
  <si>
    <t>载荷伸展/展开机构</t>
  </si>
  <si>
    <t>127.589x450.689x270.089</t>
  </si>
  <si>
    <t>姿轨控分系统</t>
  </si>
  <si>
    <t>反作用轮候选 DIBAN-1</t>
  </si>
  <si>
    <t>88.522x87.243x68</t>
  </si>
  <si>
    <t>反作用轮候选 DIBAN-2（含斜装支架）</t>
  </si>
  <si>
    <t>125.588x126.623x115.562</t>
  </si>
  <si>
    <t>磁强计</t>
  </si>
  <si>
    <t>78.416x64.916x23.016</t>
  </si>
  <si>
    <t>星敏感器 A</t>
  </si>
  <si>
    <t>150.18x94.012x95.901</t>
  </si>
  <si>
    <t>星敏感器 B</t>
  </si>
  <si>
    <t>202.102x86.006x78.247</t>
  </si>
  <si>
    <t>光纤陀螺 YH50（含热控垫片）</t>
  </si>
  <si>
    <t>50.522x89.222x50.022</t>
  </si>
  <si>
    <t>MEMS 陀螺 100（含热控垫片）</t>
  </si>
  <si>
    <t>73.6x21.5x44.8</t>
  </si>
  <si>
    <t>星敏/小光学组件候选</t>
  </si>
  <si>
    <t>159.484x73.534x93.534</t>
  </si>
  <si>
    <t>反作用轮候选 FXFY</t>
  </si>
  <si>
    <t>68x88.522x87.243</t>
  </si>
  <si>
    <t>磁力矩器/磁棒 ZY</t>
  </si>
  <si>
    <t>26x13.8x160</t>
  </si>
  <si>
    <t>反作用轮候选 FY</t>
  </si>
  <si>
    <t>88.522x68x87.243</t>
  </si>
  <si>
    <t>磁力矩器/磁棒 顶板 1</t>
  </si>
  <si>
    <t>26x160x13.8</t>
  </si>
  <si>
    <t>磁力矩器/磁棒 顶板 2</t>
  </si>
  <si>
    <t>160x26x13.8</t>
  </si>
  <si>
    <t>三轴光纤陀螺</t>
  </si>
  <si>
    <t>82x81.5x52.5</t>
  </si>
  <si>
    <t>-20 ~ 45℃</t>
  </si>
  <si>
    <t>光纤陀螺</t>
  </si>
  <si>
    <t>86x74x60</t>
  </si>
  <si>
    <t>反作用轮</t>
  </si>
  <si>
    <t>100x100x65</t>
  </si>
  <si>
    <t>-15 ~ 50℃</t>
  </si>
  <si>
    <t>太阳敏感器 B</t>
  </si>
  <si>
    <t>24x21x8</t>
  </si>
  <si>
    <t>-90 ~ 90℃</t>
  </si>
  <si>
    <t>推进分系统</t>
  </si>
  <si>
    <t>电推进/微推力器候选（含安装板）</t>
  </si>
  <si>
    <t>140.004x144.001x89.004</t>
  </si>
  <si>
    <t>冷气微推机</t>
  </si>
  <si>
    <t>150x120x49.7</t>
  </si>
  <si>
    <t>35 ~ 45℃</t>
  </si>
  <si>
    <t>电源与总体电路分系统</t>
  </si>
  <si>
    <t>电池组或电源类盒体候选</t>
  </si>
  <si>
    <t>215.162x100.001x51.001</t>
  </si>
  <si>
    <t>太阳电池阵/帆板</t>
  </si>
  <si>
    <t>474.173x712.167x91.667</t>
  </si>
  <si>
    <t>综合电子分系统</t>
  </si>
  <si>
    <t>综合电子/星务电子箱候选（含安装板）</t>
  </si>
  <si>
    <t>234.061x144.261x198.03</t>
  </si>
  <si>
    <t>测控 / 数传一体机分系统</t>
  </si>
  <si>
    <t>短报文/GNSS/专有电子盒候选</t>
  </si>
  <si>
    <t>114x94x50</t>
  </si>
  <si>
    <t>测控数传一体机 A / Z0001</t>
  </si>
  <si>
    <t>102.755x50.829x90.029</t>
  </si>
  <si>
    <t>测控/数传/短报文天线候选 FXZY</t>
  </si>
  <si>
    <t>25.28x73.781x34.044</t>
  </si>
  <si>
    <t>测控/数传/短报文天线候选 FXFY</t>
  </si>
  <si>
    <t>25.28x78.781x34.044</t>
  </si>
  <si>
    <t>测控/数传/短报文天线候选 ZY</t>
  </si>
  <si>
    <t>50x68.772x50</t>
  </si>
  <si>
    <t>测控数传一体机 B / Z0001</t>
  </si>
  <si>
    <t>测控/数传/短报文天线候选 FY</t>
  </si>
  <si>
    <t>微波开关</t>
  </si>
  <si>
    <t>55.3x62.9x33.8</t>
  </si>
  <si>
    <t>-20 ~ 50℃</t>
  </si>
  <si>
    <t>载荷分系统</t>
  </si>
  <si>
    <t>载荷防污染/防尘机构</t>
  </si>
  <si>
    <t>12.525x203.825x247.175</t>
  </si>
  <si>
    <t>探测器机箱候选</t>
  </si>
  <si>
    <t>87.354x209.054x192.354</t>
  </si>
  <si>
    <t>小型相机/光学设备候选</t>
  </si>
  <si>
    <t>106.428x106.428x101.96</t>
  </si>
  <si>
    <t>整星质量</t>
  </si>
  <si>
    <t>平台</t>
  </si>
  <si>
    <t>整星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</si>
</sst>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宋体"/>
      <family val="2"/>
    </font>
    <font>
      <sz val="11"/>
      <color rgb="FF000000"/>
      <name val="Times New Roman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9eaf7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29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0" applyAlignment="1">
      <alignment horizontal="left" wrapText="1"/>
    </xf>
    <xf xfId="0" numFmtId="3" applyNumberFormat="1" borderId="1" applyBorder="1" fontId="2" applyFont="1" fillId="0" applyAlignment="1">
      <alignment horizontal="left" wrapText="1"/>
    </xf>
    <xf xfId="0" numFmtId="3" applyNumberFormat="1" borderId="1" applyBorder="1" fontId="2" applyFont="1" fillId="0" applyAlignment="1">
      <alignment horizontal="right" wrapText="1"/>
    </xf>
    <xf xfId="0" numFmtId="0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 wrapText="1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 wrapText="1"/>
    </xf>
    <xf xfId="0" numFmtId="0" borderId="2" applyBorder="1" fontId="1" applyFont="1" fillId="2" applyFill="1" applyAlignment="1">
      <alignment horizontal="center" wrapText="1"/>
    </xf>
    <xf xfId="0" numFmtId="164" applyNumberFormat="1" borderId="2" applyBorder="1" fontId="1" applyFont="1" fillId="2" applyFill="1" applyAlignment="1">
      <alignment horizontal="center" wrapText="1"/>
    </xf>
    <xf xfId="0" numFmtId="0" borderId="0" fontId="0" fillId="0" applyAlignment="1">
      <alignment horizontal="general" wrapText="1"/>
    </xf>
    <xf xfId="0" numFmtId="0" borderId="3" applyBorder="1" fontId="1" applyFont="1" fillId="3" applyFill="1" applyAlignment="1">
      <alignment horizontal="center" wrapText="1"/>
    </xf>
    <xf xfId="0" numFmtId="164" applyNumberFormat="1" borderId="3" applyBorder="1" fontId="1" applyFont="1" fillId="3" applyFill="1" applyAlignment="1">
      <alignment horizontal="center" wrapText="1"/>
    </xf>
    <xf xfId="0" numFmtId="0" borderId="4" applyBorder="1" fontId="3" applyFont="1" fillId="2" applyFill="1" applyAlignment="1">
      <alignment horizontal="center" wrapText="1"/>
    </xf>
    <xf xfId="0" numFmtId="164" applyNumberFormat="1" borderId="4" applyBorder="1" fontId="4" applyFont="1" fillId="2" applyFill="1" applyAlignment="1">
      <alignment horizontal="center" wrapText="1"/>
    </xf>
    <xf xfId="0" numFmtId="0" borderId="4" applyBorder="1" fontId="4" applyFont="1" fillId="2" applyFill="1" applyAlignment="1">
      <alignment horizontal="center" wrapText="1"/>
    </xf>
    <xf xfId="0" numFmtId="0" borderId="1" applyBorder="1" fontId="2" applyFont="1" fillId="0" applyAlignment="1">
      <alignment horizontal="center"/>
    </xf>
    <xf xfId="0" numFmtId="164" applyNumberFormat="1" borderId="1" applyBorder="1" fontId="2" applyFont="1" fillId="0" applyAlignment="1">
      <alignment horizontal="right"/>
    </xf>
    <xf xfId="0" numFmtId="0" borderId="1" applyBorder="1" fontId="2" applyFont="1" fillId="0" applyAlignment="1">
      <alignment horizontal="center" wrapText="1"/>
    </xf>
    <xf xfId="0" numFmtId="0" borderId="5" applyBorder="1" fontId="1" applyFont="1" fillId="0" applyAlignment="1">
      <alignment horizontal="center" wrapText="1"/>
    </xf>
    <xf xfId="0" numFmtId="164" applyNumberFormat="1" borderId="5" applyBorder="1" fontId="1" applyFont="1" fillId="0" applyAlignment="1">
      <alignment horizontal="center" wrapText="1"/>
    </xf>
    <xf xfId="0" numFmtId="164" applyNumberFormat="1" borderId="1" applyBorder="1" fontId="2" applyFont="1" fillId="0" applyAlignment="1">
      <alignment horizontal="center" wrapText="1"/>
    </xf>
    <xf xfId="0" numFmtId="0" borderId="1" applyBorder="1" fontId="1" applyFont="1" fillId="0" applyAlignment="1">
      <alignment horizontal="center" wrapText="1"/>
    </xf>
    <xf xfId="0" numFmtId="164" applyNumberFormat="1" borderId="1" applyBorder="1" fontId="1" applyFont="1" fillId="0" applyAlignment="1">
      <alignment horizontal="center" wrapText="1"/>
    </xf>
    <xf xfId="0" numFmtId="164" applyNumberFormat="1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16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65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27" width="34.005" customWidth="1" bestFit="1"/>
    <col min="2" max="2" style="28" width="14.005" customWidth="1" bestFit="1"/>
    <col min="3" max="3" style="27" width="22.005" customWidth="1" bestFit="1"/>
    <col min="4" max="4" style="28" width="22.005" customWidth="1" bestFit="1"/>
    <col min="5" max="5" style="8" width="14.005" customWidth="1" bestFit="1"/>
    <col min="6" max="6" style="27" width="18.005" customWidth="1" bestFit="1"/>
    <col min="7" max="7" style="27" width="14.005" customWidth="1" bestFit="1"/>
    <col min="8" max="8" style="8" width="13.576428571428572" customWidth="1" bestFit="1" hidden="1"/>
    <col min="9" max="9" style="8" width="13.576428571428572" customWidth="1" bestFit="1" hidden="1"/>
    <col min="10" max="10" style="8" width="13.576428571428572" customWidth="1" bestFit="1" hidden="1"/>
  </cols>
  <sheetData>
    <row x14ac:dyDescent="0.25" r="1" customHeight="1" ht="28" customFormat="1" s="1">
      <c r="A1" s="10" t="s">
        <v>25</v>
      </c>
      <c r="B1" s="11" t="s">
        <v>26</v>
      </c>
      <c r="C1" s="10" t="s">
        <v>27</v>
      </c>
      <c r="D1" s="11" t="s">
        <v>28</v>
      </c>
      <c r="E1" s="10" t="s">
        <v>29</v>
      </c>
      <c r="F1" s="10" t="s">
        <v>30</v>
      </c>
      <c r="G1" s="10" t="s">
        <v>31</v>
      </c>
      <c r="H1" s="12"/>
      <c r="I1" s="12"/>
      <c r="J1" s="12"/>
    </row>
    <row x14ac:dyDescent="0.25" r="2" customHeight="1" ht="21" customFormat="1" s="1">
      <c r="A2" s="13" t="s">
        <v>32</v>
      </c>
      <c r="B2" s="14">
        <f>sum(B3:B6)</f>
      </c>
      <c r="C2" s="13"/>
      <c r="D2" s="14">
        <f>sum(D3:D6)</f>
      </c>
      <c r="E2" s="14">
        <f>sum(E3:E6)</f>
      </c>
      <c r="F2" s="13"/>
      <c r="G2" s="13"/>
      <c r="H2" s="12"/>
      <c r="I2" s="12"/>
      <c r="J2" s="12"/>
    </row>
    <row x14ac:dyDescent="0.25" r="3" customHeight="1" ht="18.75" customFormat="1" s="1">
      <c r="A3" s="15" t="s">
        <v>33</v>
      </c>
      <c r="B3" s="16">
        <v>3.110873</v>
      </c>
      <c r="C3" s="17" t="s">
        <v>34</v>
      </c>
      <c r="D3" s="16">
        <v>0</v>
      </c>
      <c r="E3" s="16"/>
      <c r="F3" s="17"/>
      <c r="G3" s="17" t="s">
        <v>35</v>
      </c>
      <c r="H3" s="12"/>
      <c r="I3" s="12"/>
      <c r="J3" s="12"/>
    </row>
    <row x14ac:dyDescent="0.25" r="4" customHeight="1" ht="18.75" customFormat="1" s="1">
      <c r="A4" s="15" t="s">
        <v>36</v>
      </c>
      <c r="B4" s="16">
        <v>0.113495</v>
      </c>
      <c r="C4" s="17" t="s">
        <v>37</v>
      </c>
      <c r="D4" s="16">
        <v>0.1</v>
      </c>
      <c r="E4" s="16"/>
      <c r="F4" s="17"/>
      <c r="G4" s="17" t="s">
        <v>35</v>
      </c>
      <c r="H4" s="12"/>
      <c r="I4" s="12"/>
      <c r="J4" s="12"/>
    </row>
    <row x14ac:dyDescent="0.25" r="5" customHeight="1" ht="18.75" customFormat="1" s="1">
      <c r="A5" s="15" t="s">
        <v>38</v>
      </c>
      <c r="B5" s="16">
        <v>0.113495</v>
      </c>
      <c r="C5" s="17" t="s">
        <v>37</v>
      </c>
      <c r="D5" s="16">
        <v>0.1</v>
      </c>
      <c r="E5" s="16"/>
      <c r="F5" s="17"/>
      <c r="G5" s="17" t="s">
        <v>35</v>
      </c>
      <c r="H5" s="12"/>
      <c r="I5" s="12"/>
      <c r="J5" s="12"/>
    </row>
    <row x14ac:dyDescent="0.25" r="6" customHeight="1" ht="30" customFormat="1" s="1">
      <c r="A6" s="15" t="s">
        <v>39</v>
      </c>
      <c r="B6" s="16">
        <v>7.614769</v>
      </c>
      <c r="C6" s="17" t="s">
        <v>40</v>
      </c>
      <c r="D6" s="16">
        <v>5</v>
      </c>
      <c r="E6" s="16"/>
      <c r="F6" s="17"/>
      <c r="G6" s="17" t="s">
        <v>35</v>
      </c>
      <c r="H6" s="12"/>
      <c r="I6" s="12"/>
      <c r="J6" s="12"/>
    </row>
    <row x14ac:dyDescent="0.25" r="7" customHeight="1" ht="21" customFormat="1" s="1">
      <c r="A7" s="13" t="s">
        <v>41</v>
      </c>
      <c r="B7" s="14">
        <f>sum(B8:B24)</f>
      </c>
      <c r="C7" s="13"/>
      <c r="D7" s="14">
        <f>sum(D8:D24)</f>
      </c>
      <c r="E7" s="14">
        <f>sum(E8:E24)</f>
      </c>
      <c r="F7" s="13"/>
      <c r="G7" s="13"/>
      <c r="H7" s="12"/>
      <c r="I7" s="12"/>
      <c r="J7" s="12"/>
    </row>
    <row x14ac:dyDescent="0.25" r="8" customHeight="1" ht="18.75" customFormat="1" s="1">
      <c r="A8" s="15" t="s">
        <v>42</v>
      </c>
      <c r="B8" s="16">
        <v>0.257483</v>
      </c>
      <c r="C8" s="17" t="s">
        <v>43</v>
      </c>
      <c r="D8" s="16">
        <v>2</v>
      </c>
      <c r="E8" s="16"/>
      <c r="F8" s="17"/>
      <c r="G8" s="17" t="s">
        <v>35</v>
      </c>
      <c r="H8" s="12"/>
      <c r="I8" s="12"/>
      <c r="J8" s="12"/>
    </row>
    <row x14ac:dyDescent="0.25" r="9" customHeight="1" ht="30" customFormat="1" s="1">
      <c r="A9" s="15" t="s">
        <v>44</v>
      </c>
      <c r="B9" s="16">
        <v>0.901015</v>
      </c>
      <c r="C9" s="17" t="s">
        <v>45</v>
      </c>
      <c r="D9" s="16">
        <v>2</v>
      </c>
      <c r="E9" s="16"/>
      <c r="F9" s="17"/>
      <c r="G9" s="17" t="s">
        <v>35</v>
      </c>
      <c r="H9" s="12"/>
      <c r="I9" s="12"/>
      <c r="J9" s="12"/>
    </row>
    <row x14ac:dyDescent="0.25" r="10" customHeight="1" ht="18.75" customFormat="1" s="1">
      <c r="A10" s="15" t="s">
        <v>46</v>
      </c>
      <c r="B10" s="16">
        <v>0.113495</v>
      </c>
      <c r="C10" s="17" t="s">
        <v>47</v>
      </c>
      <c r="D10" s="16">
        <v>0.5</v>
      </c>
      <c r="E10" s="16"/>
      <c r="F10" s="17"/>
      <c r="G10" s="17" t="s">
        <v>35</v>
      </c>
      <c r="H10" s="12"/>
      <c r="I10" s="12"/>
      <c r="J10" s="12"/>
    </row>
    <row x14ac:dyDescent="0.25" r="11" customHeight="1" ht="18.75" customFormat="1" s="1">
      <c r="A11" s="15" t="s">
        <v>48</v>
      </c>
      <c r="B11" s="16">
        <v>0.663863</v>
      </c>
      <c r="C11" s="17" t="s">
        <v>49</v>
      </c>
      <c r="D11" s="16">
        <v>2</v>
      </c>
      <c r="E11" s="16"/>
      <c r="F11" s="17"/>
      <c r="G11" s="17" t="s">
        <v>35</v>
      </c>
      <c r="H11" s="12"/>
      <c r="I11" s="12"/>
      <c r="J11" s="12"/>
    </row>
    <row x14ac:dyDescent="0.25" r="12" customHeight="1" ht="18.75" customFormat="1" s="1">
      <c r="A12" s="15" t="s">
        <v>50</v>
      </c>
      <c r="B12" s="16">
        <v>0.666846</v>
      </c>
      <c r="C12" s="17" t="s">
        <v>51</v>
      </c>
      <c r="D12" s="16">
        <v>2</v>
      </c>
      <c r="E12" s="16"/>
      <c r="F12" s="17"/>
      <c r="G12" s="17" t="s">
        <v>35</v>
      </c>
      <c r="H12" s="12"/>
      <c r="I12" s="12"/>
      <c r="J12" s="12"/>
    </row>
    <row x14ac:dyDescent="0.25" r="13" customHeight="1" ht="18.75" customFormat="1" s="1">
      <c r="A13" s="15" t="s">
        <v>52</v>
      </c>
      <c r="B13" s="16">
        <v>0.113495</v>
      </c>
      <c r="C13" s="17" t="s">
        <v>53</v>
      </c>
      <c r="D13" s="16">
        <v>1</v>
      </c>
      <c r="E13" s="16"/>
      <c r="F13" s="17"/>
      <c r="G13" s="17" t="s">
        <v>35</v>
      </c>
      <c r="H13" s="12"/>
      <c r="I13" s="12"/>
      <c r="J13" s="12"/>
    </row>
    <row x14ac:dyDescent="0.25" r="14" customHeight="1" ht="18.75" customFormat="1" s="1">
      <c r="A14" s="15" t="s">
        <v>54</v>
      </c>
      <c r="B14" s="16">
        <v>0.113495</v>
      </c>
      <c r="C14" s="17" t="s">
        <v>55</v>
      </c>
      <c r="D14" s="16">
        <v>1</v>
      </c>
      <c r="E14" s="16"/>
      <c r="F14" s="17"/>
      <c r="G14" s="17" t="s">
        <v>35</v>
      </c>
      <c r="H14" s="12"/>
      <c r="I14" s="12"/>
      <c r="J14" s="12"/>
    </row>
    <row x14ac:dyDescent="0.25" r="15" customHeight="1" ht="18.75" customFormat="1" s="1">
      <c r="A15" s="15" t="s">
        <v>56</v>
      </c>
      <c r="B15" s="16">
        <v>0.537816</v>
      </c>
      <c r="C15" s="17" t="s">
        <v>57</v>
      </c>
      <c r="D15" s="16">
        <v>2</v>
      </c>
      <c r="E15" s="16"/>
      <c r="F15" s="17"/>
      <c r="G15" s="17" t="s">
        <v>35</v>
      </c>
      <c r="H15" s="12"/>
      <c r="I15" s="12"/>
      <c r="J15" s="12"/>
    </row>
    <row x14ac:dyDescent="0.25" r="16" customHeight="1" ht="18.75" customFormat="1" s="1">
      <c r="A16" s="15" t="s">
        <v>58</v>
      </c>
      <c r="B16" s="16">
        <v>0.257483</v>
      </c>
      <c r="C16" s="17" t="s">
        <v>59</v>
      </c>
      <c r="D16" s="16">
        <v>2</v>
      </c>
      <c r="E16" s="16"/>
      <c r="F16" s="17"/>
      <c r="G16" s="17" t="s">
        <v>35</v>
      </c>
      <c r="H16" s="12"/>
      <c r="I16" s="12"/>
      <c r="J16" s="12"/>
    </row>
    <row x14ac:dyDescent="0.25" r="17" customHeight="1" ht="18.75" customFormat="1" s="1">
      <c r="A17" s="15" t="s">
        <v>60</v>
      </c>
      <c r="B17" s="16">
        <v>0.113495</v>
      </c>
      <c r="C17" s="17" t="s">
        <v>61</v>
      </c>
      <c r="D17" s="16">
        <v>1</v>
      </c>
      <c r="E17" s="16"/>
      <c r="F17" s="17"/>
      <c r="G17" s="17" t="s">
        <v>35</v>
      </c>
      <c r="H17" s="12"/>
      <c r="I17" s="12"/>
      <c r="J17" s="12"/>
    </row>
    <row x14ac:dyDescent="0.25" r="18" customHeight="1" ht="18.75" customFormat="1" s="1">
      <c r="A18" s="15" t="s">
        <v>62</v>
      </c>
      <c r="B18" s="16">
        <v>0.257483</v>
      </c>
      <c r="C18" s="17" t="s">
        <v>63</v>
      </c>
      <c r="D18" s="16">
        <v>2</v>
      </c>
      <c r="E18" s="16"/>
      <c r="F18" s="17"/>
      <c r="G18" s="17" t="s">
        <v>35</v>
      </c>
      <c r="H18" s="12"/>
      <c r="I18" s="12"/>
      <c r="J18" s="12"/>
    </row>
    <row x14ac:dyDescent="0.25" r="19" customHeight="1" ht="18.75" customFormat="1" s="1">
      <c r="A19" s="15" t="s">
        <v>64</v>
      </c>
      <c r="B19" s="16">
        <v>0.113495</v>
      </c>
      <c r="C19" s="17" t="s">
        <v>65</v>
      </c>
      <c r="D19" s="16">
        <v>1</v>
      </c>
      <c r="E19" s="16"/>
      <c r="F19" s="17"/>
      <c r="G19" s="17" t="s">
        <v>35</v>
      </c>
      <c r="H19" s="12"/>
      <c r="I19" s="12"/>
      <c r="J19" s="12"/>
    </row>
    <row x14ac:dyDescent="0.25" r="20" customHeight="1" ht="18.75" customFormat="1" s="1">
      <c r="A20" s="15" t="s">
        <v>66</v>
      </c>
      <c r="B20" s="16">
        <v>0.113495</v>
      </c>
      <c r="C20" s="17" t="s">
        <v>67</v>
      </c>
      <c r="D20" s="16">
        <v>1</v>
      </c>
      <c r="E20" s="16"/>
      <c r="F20" s="17"/>
      <c r="G20" s="17" t="s">
        <v>35</v>
      </c>
      <c r="H20" s="12"/>
      <c r="I20" s="12"/>
      <c r="J20" s="12"/>
    </row>
    <row x14ac:dyDescent="0.25" r="21" customHeight="1" ht="18.75" customFormat="1" s="1">
      <c r="A21" s="15" t="s">
        <v>68</v>
      </c>
      <c r="B21" s="16">
        <v>1.157644</v>
      </c>
      <c r="C21" s="17" t="s">
        <v>69</v>
      </c>
      <c r="D21" s="16">
        <v>5</v>
      </c>
      <c r="E21" s="16"/>
      <c r="F21" s="17" t="s">
        <v>70</v>
      </c>
      <c r="G21" s="17" t="s">
        <v>35</v>
      </c>
      <c r="H21" s="12"/>
      <c r="I21" s="12"/>
      <c r="J21" s="12"/>
    </row>
    <row x14ac:dyDescent="0.25" r="22" customHeight="1" ht="18.75">
      <c r="A22" s="15" t="s">
        <v>71</v>
      </c>
      <c r="B22" s="16">
        <v>0.794462</v>
      </c>
      <c r="C22" s="17" t="s">
        <v>72</v>
      </c>
      <c r="D22" s="16">
        <v>5</v>
      </c>
      <c r="E22" s="16"/>
      <c r="F22" s="17" t="s">
        <v>70</v>
      </c>
      <c r="G22" s="17" t="s">
        <v>35</v>
      </c>
      <c r="H22" s="18"/>
      <c r="I22" s="6"/>
      <c r="J22" s="6"/>
    </row>
    <row x14ac:dyDescent="0.25" r="23" customHeight="1" ht="18.75" customFormat="1" s="1">
      <c r="A23" s="15" t="s">
        <v>73</v>
      </c>
      <c r="B23" s="16">
        <v>1.702418</v>
      </c>
      <c r="C23" s="17" t="s">
        <v>74</v>
      </c>
      <c r="D23" s="16">
        <v>3</v>
      </c>
      <c r="E23" s="16"/>
      <c r="F23" s="17" t="s">
        <v>75</v>
      </c>
      <c r="G23" s="17" t="s">
        <v>35</v>
      </c>
      <c r="H23" s="12"/>
      <c r="I23" s="12"/>
      <c r="J23" s="12"/>
    </row>
    <row x14ac:dyDescent="0.25" r="24" customHeight="1" ht="18.75" customFormat="1" s="1">
      <c r="A24" s="15" t="s">
        <v>76</v>
      </c>
      <c r="B24" s="16">
        <v>0.056747</v>
      </c>
      <c r="C24" s="17" t="s">
        <v>77</v>
      </c>
      <c r="D24" s="16">
        <v>0.04</v>
      </c>
      <c r="E24" s="16"/>
      <c r="F24" s="17" t="s">
        <v>78</v>
      </c>
      <c r="G24" s="17" t="s">
        <v>35</v>
      </c>
      <c r="H24" s="12"/>
      <c r="I24" s="12"/>
      <c r="J24" s="12"/>
    </row>
    <row x14ac:dyDescent="0.25" r="25" customHeight="1" ht="21">
      <c r="A25" s="13" t="s">
        <v>79</v>
      </c>
      <c r="B25" s="14">
        <f>sum(B26:B27)</f>
      </c>
      <c r="C25" s="13"/>
      <c r="D25" s="14">
        <f>sum(D26:D27)</f>
      </c>
      <c r="E25" s="14">
        <f>sum(E26:E27)</f>
      </c>
      <c r="F25" s="13"/>
      <c r="G25" s="13"/>
      <c r="H25" s="18"/>
      <c r="I25" s="6"/>
      <c r="J25" s="6"/>
    </row>
    <row x14ac:dyDescent="0.25" r="26" customHeight="1" ht="24" customFormat="1" s="1">
      <c r="A26" s="15" t="s">
        <v>80</v>
      </c>
      <c r="B26" s="16">
        <v>0.879789</v>
      </c>
      <c r="C26" s="17" t="s">
        <v>81</v>
      </c>
      <c r="D26" s="16">
        <v>3</v>
      </c>
      <c r="E26" s="16"/>
      <c r="F26" s="17"/>
      <c r="G26" s="17" t="s">
        <v>35</v>
      </c>
      <c r="H26" s="12"/>
      <c r="I26" s="12"/>
      <c r="J26" s="12"/>
    </row>
    <row x14ac:dyDescent="0.25" r="27" customHeight="1" ht="24" customFormat="1" s="1">
      <c r="A27" s="15" t="s">
        <v>82</v>
      </c>
      <c r="B27" s="16">
        <v>1.24844</v>
      </c>
      <c r="C27" s="17" t="s">
        <v>83</v>
      </c>
      <c r="D27" s="16">
        <v>0</v>
      </c>
      <c r="E27" s="16"/>
      <c r="F27" s="17" t="s">
        <v>84</v>
      </c>
      <c r="G27" s="17" t="s">
        <v>35</v>
      </c>
      <c r="H27" s="12"/>
      <c r="I27" s="12"/>
      <c r="J27" s="12"/>
    </row>
    <row x14ac:dyDescent="0.25" r="28" customHeight="1" ht="24" customFormat="1" s="1">
      <c r="A28" s="13" t="s">
        <v>85</v>
      </c>
      <c r="B28" s="14">
        <f>sum(B29:B30)</f>
      </c>
      <c r="C28" s="13"/>
      <c r="D28" s="14">
        <f>sum(D29:D30)</f>
      </c>
      <c r="E28" s="14">
        <f>sum(E29:E30)</f>
      </c>
      <c r="F28" s="13"/>
      <c r="G28" s="13"/>
      <c r="H28" s="12"/>
      <c r="I28" s="12"/>
      <c r="J28" s="12"/>
    </row>
    <row x14ac:dyDescent="0.25" r="29" customHeight="1" ht="24" customFormat="1" s="1">
      <c r="A29" s="15" t="s">
        <v>86</v>
      </c>
      <c r="B29" s="16">
        <v>0.538025</v>
      </c>
      <c r="C29" s="17" t="s">
        <v>87</v>
      </c>
      <c r="D29" s="16">
        <v>5</v>
      </c>
      <c r="E29" s="16"/>
      <c r="F29" s="17"/>
      <c r="G29" s="17" t="s">
        <v>35</v>
      </c>
      <c r="H29" s="12"/>
      <c r="I29" s="12"/>
      <c r="J29" s="12"/>
    </row>
    <row x14ac:dyDescent="0.25" r="30" customHeight="1" ht="24" customFormat="1" s="1">
      <c r="A30" s="15" t="s">
        <v>88</v>
      </c>
      <c r="B30" s="16">
        <v>15.177134</v>
      </c>
      <c r="C30" s="17" t="s">
        <v>89</v>
      </c>
      <c r="D30" s="16">
        <v>0</v>
      </c>
      <c r="E30" s="16"/>
      <c r="F30" s="17"/>
      <c r="G30" s="17" t="s">
        <v>35</v>
      </c>
      <c r="H30" s="12"/>
      <c r="I30" s="12"/>
      <c r="J30" s="12"/>
    </row>
    <row x14ac:dyDescent="0.25" r="31" customHeight="1" ht="24">
      <c r="A31" s="13" t="s">
        <v>90</v>
      </c>
      <c r="B31" s="14">
        <f>sum(B32:B32)</f>
      </c>
      <c r="C31" s="13"/>
      <c r="D31" s="14">
        <f>sum(D32:D32)</f>
      </c>
      <c r="E31" s="14">
        <f>sum(E32:E32)</f>
      </c>
      <c r="F31" s="13"/>
      <c r="G31" s="13"/>
      <c r="H31" s="18"/>
      <c r="I31" s="18"/>
      <c r="J31" s="18"/>
    </row>
    <row x14ac:dyDescent="0.25" r="32" customHeight="1" ht="24" customFormat="1" s="1">
      <c r="A32" s="15" t="s">
        <v>91</v>
      </c>
      <c r="B32" s="16">
        <v>3.278434</v>
      </c>
      <c r="C32" s="17" t="s">
        <v>92</v>
      </c>
      <c r="D32" s="16">
        <v>12</v>
      </c>
      <c r="E32" s="16"/>
      <c r="F32" s="17"/>
      <c r="G32" s="17" t="s">
        <v>35</v>
      </c>
      <c r="H32" s="12"/>
      <c r="I32" s="12"/>
      <c r="J32" s="12"/>
    </row>
    <row x14ac:dyDescent="0.25" r="33" customHeight="1" ht="24" customFormat="1" s="1">
      <c r="A33" s="13" t="s">
        <v>93</v>
      </c>
      <c r="B33" s="14">
        <f>sum(B34:B41)</f>
      </c>
      <c r="C33" s="13"/>
      <c r="D33" s="14">
        <f>sum(D34:D41)</f>
      </c>
      <c r="E33" s="14">
        <f>sum(E34:E41)</f>
      </c>
      <c r="F33" s="13"/>
      <c r="G33" s="13"/>
      <c r="H33" s="12"/>
      <c r="I33" s="12"/>
      <c r="J33" s="12"/>
    </row>
    <row x14ac:dyDescent="0.25" r="34" customHeight="1" ht="24" customFormat="1" s="1">
      <c r="A34" s="15" t="s">
        <v>94</v>
      </c>
      <c r="B34" s="16">
        <v>0.262701</v>
      </c>
      <c r="C34" s="17" t="s">
        <v>95</v>
      </c>
      <c r="D34" s="16">
        <v>3</v>
      </c>
      <c r="E34" s="16"/>
      <c r="F34" s="17"/>
      <c r="G34" s="17" t="s">
        <v>35</v>
      </c>
      <c r="H34" s="12"/>
      <c r="I34" s="12"/>
      <c r="J34" s="12"/>
    </row>
    <row x14ac:dyDescent="0.25" r="35" customHeight="1" ht="24" customFormat="1" s="1">
      <c r="A35" s="15" t="s">
        <v>96</v>
      </c>
      <c r="B35" s="16">
        <v>0.230546</v>
      </c>
      <c r="C35" s="17" t="s">
        <v>97</v>
      </c>
      <c r="D35" s="16">
        <v>8</v>
      </c>
      <c r="E35" s="16"/>
      <c r="F35" s="17"/>
      <c r="G35" s="17" t="s">
        <v>35</v>
      </c>
      <c r="H35" s="12"/>
      <c r="I35" s="12"/>
      <c r="J35" s="12"/>
    </row>
    <row x14ac:dyDescent="0.25" r="36" customHeight="1" ht="24" customFormat="1" s="1">
      <c r="A36" s="15" t="s">
        <v>98</v>
      </c>
      <c r="B36" s="16">
        <v>0.113495</v>
      </c>
      <c r="C36" s="17" t="s">
        <v>99</v>
      </c>
      <c r="D36" s="16">
        <v>1</v>
      </c>
      <c r="E36" s="16"/>
      <c r="F36" s="17"/>
      <c r="G36" s="17" t="s">
        <v>35</v>
      </c>
      <c r="H36" s="12"/>
      <c r="I36" s="12"/>
      <c r="J36" s="12"/>
    </row>
    <row x14ac:dyDescent="0.25" r="37" customHeight="1" ht="24" customFormat="1" s="1">
      <c r="A37" s="15" t="s">
        <v>100</v>
      </c>
      <c r="B37" s="16">
        <v>0.113495</v>
      </c>
      <c r="C37" s="17" t="s">
        <v>101</v>
      </c>
      <c r="D37" s="16">
        <v>1</v>
      </c>
      <c r="E37" s="16"/>
      <c r="F37" s="17"/>
      <c r="G37" s="17" t="s">
        <v>35</v>
      </c>
      <c r="H37" s="12"/>
      <c r="I37" s="12"/>
      <c r="J37" s="12"/>
    </row>
    <row x14ac:dyDescent="0.25" r="38" customHeight="1" ht="24" customFormat="1" s="1">
      <c r="A38" s="15" t="s">
        <v>102</v>
      </c>
      <c r="B38" s="16">
        <v>0.113495</v>
      </c>
      <c r="C38" s="17" t="s">
        <v>103</v>
      </c>
      <c r="D38" s="16">
        <v>1</v>
      </c>
      <c r="E38" s="16"/>
      <c r="F38" s="17"/>
      <c r="G38" s="17" t="s">
        <v>35</v>
      </c>
      <c r="H38" s="12"/>
      <c r="I38" s="12"/>
      <c r="J38" s="12"/>
    </row>
    <row x14ac:dyDescent="0.25" r="39" customHeight="1" ht="24" customFormat="1" s="1">
      <c r="A39" s="15" t="s">
        <v>104</v>
      </c>
      <c r="B39" s="16">
        <v>0.230546</v>
      </c>
      <c r="C39" s="17" t="s">
        <v>97</v>
      </c>
      <c r="D39" s="16">
        <v>8</v>
      </c>
      <c r="E39" s="16"/>
      <c r="F39" s="17"/>
      <c r="G39" s="17" t="s">
        <v>35</v>
      </c>
      <c r="H39" s="12"/>
      <c r="I39" s="12"/>
      <c r="J39" s="12"/>
    </row>
    <row x14ac:dyDescent="0.25" r="40" customHeight="1" ht="24" customFormat="1" s="1">
      <c r="A40" s="15" t="s">
        <v>105</v>
      </c>
      <c r="B40" s="16">
        <v>0.113495</v>
      </c>
      <c r="C40" s="17" t="s">
        <v>103</v>
      </c>
      <c r="D40" s="16">
        <v>1</v>
      </c>
      <c r="E40" s="16"/>
      <c r="F40" s="17"/>
      <c r="G40" s="17" t="s">
        <v>35</v>
      </c>
      <c r="H40" s="12"/>
      <c r="I40" s="12"/>
      <c r="J40" s="12"/>
    </row>
    <row x14ac:dyDescent="0.25" r="41" customHeight="1" ht="24" customFormat="1" s="1">
      <c r="A41" s="15" t="s">
        <v>106</v>
      </c>
      <c r="B41" s="16">
        <v>0.21564</v>
      </c>
      <c r="C41" s="17" t="s">
        <v>107</v>
      </c>
      <c r="D41" s="16">
        <v>0</v>
      </c>
      <c r="E41" s="16"/>
      <c r="F41" s="17" t="s">
        <v>108</v>
      </c>
      <c r="G41" s="17" t="s">
        <v>35</v>
      </c>
      <c r="H41" s="12"/>
      <c r="I41" s="12"/>
      <c r="J41" s="12"/>
    </row>
    <row x14ac:dyDescent="0.25" r="42" customHeight="1" ht="24" customFormat="1" s="1">
      <c r="A42" s="13" t="s">
        <v>109</v>
      </c>
      <c r="B42" s="14">
        <f>sum(B43:B45)</f>
      </c>
      <c r="C42" s="13"/>
      <c r="D42" s="14">
        <f>sum(D43:D45)</f>
      </c>
      <c r="E42" s="14">
        <f>sum(E43:E45)</f>
      </c>
      <c r="F42" s="13"/>
      <c r="G42" s="13"/>
      <c r="H42" s="12"/>
      <c r="I42" s="12"/>
      <c r="J42" s="12"/>
    </row>
    <row x14ac:dyDescent="0.25" r="43" customHeight="1" ht="24" customFormat="1" s="1">
      <c r="A43" s="15" t="s">
        <v>110</v>
      </c>
      <c r="B43" s="16">
        <v>0.309384</v>
      </c>
      <c r="C43" s="17" t="s">
        <v>111</v>
      </c>
      <c r="D43" s="16">
        <v>2</v>
      </c>
      <c r="E43" s="16"/>
      <c r="F43" s="17"/>
      <c r="G43" s="17" t="s">
        <v>35</v>
      </c>
      <c r="H43" s="12"/>
      <c r="I43" s="12"/>
      <c r="J43" s="12"/>
    </row>
    <row x14ac:dyDescent="0.25" r="44" customHeight="1" ht="24" customFormat="1" s="1">
      <c r="A44" s="15" t="s">
        <v>112</v>
      </c>
      <c r="B44" s="16">
        <v>1.722277</v>
      </c>
      <c r="C44" s="17" t="s">
        <v>113</v>
      </c>
      <c r="D44" s="16">
        <v>6</v>
      </c>
      <c r="E44" s="16"/>
      <c r="F44" s="17"/>
      <c r="G44" s="17" t="s">
        <v>35</v>
      </c>
      <c r="H44" s="12"/>
      <c r="I44" s="12"/>
      <c r="J44" s="12"/>
    </row>
    <row x14ac:dyDescent="0.25" r="45" customHeight="1" ht="24" customFormat="1" s="1">
      <c r="A45" s="15" t="s">
        <v>114</v>
      </c>
      <c r="B45" s="16">
        <v>0.566242</v>
      </c>
      <c r="C45" s="17" t="s">
        <v>115</v>
      </c>
      <c r="D45" s="16">
        <v>3</v>
      </c>
      <c r="E45" s="16"/>
      <c r="F45" s="17"/>
      <c r="G45" s="17" t="s">
        <v>35</v>
      </c>
      <c r="H45" s="12"/>
      <c r="I45" s="12"/>
      <c r="J45" s="12"/>
    </row>
    <row x14ac:dyDescent="0.25" r="46" customHeight="1" ht="24">
      <c r="A46" s="12"/>
      <c r="B46" s="19"/>
      <c r="C46" s="12"/>
      <c r="D46" s="19"/>
      <c r="E46" s="19"/>
      <c r="F46" s="12"/>
      <c r="G46" s="20"/>
      <c r="H46" s="6"/>
      <c r="I46" s="6"/>
      <c r="J46" s="6"/>
    </row>
    <row x14ac:dyDescent="0.25" r="47" customHeight="1" ht="24" customFormat="1" s="1">
      <c r="A47" s="21" t="s">
        <v>116</v>
      </c>
      <c r="B47" s="22">
        <f>sum(B2+B7+B25+B28+B31+B33+B42)</f>
      </c>
      <c r="C47" s="21" t="s">
        <v>117</v>
      </c>
      <c r="D47" s="22">
        <f>sum(D2+D7+D25+D28+D31+D33+D42)</f>
      </c>
      <c r="E47" s="22">
        <f>sum(E2+E7+E25+E28+E31+E33+E42)</f>
      </c>
      <c r="F47" s="21"/>
      <c r="G47" s="21" t="s">
        <v>35</v>
      </c>
      <c r="H47" s="12"/>
      <c r="I47" s="12"/>
      <c r="J47" s="12"/>
    </row>
    <row x14ac:dyDescent="0.25" r="48" customHeight="1" ht="24" customFormat="1" s="1">
      <c r="A48" s="20"/>
      <c r="B48" s="23"/>
      <c r="C48" s="24" t="s">
        <v>118</v>
      </c>
      <c r="D48" s="25">
        <f>D47</f>
      </c>
      <c r="E48" s="25">
        <f>D47+E47</f>
      </c>
      <c r="F48" s="20"/>
      <c r="G48" s="20" t="s">
        <v>35</v>
      </c>
      <c r="H48" s="12"/>
      <c r="I48" s="12"/>
      <c r="J48" s="12"/>
    </row>
    <row x14ac:dyDescent="0.25" r="49" customHeight="1" ht="18.75">
      <c r="A49" s="12"/>
      <c r="B49" s="26"/>
      <c r="C49" s="12"/>
      <c r="D49" s="26"/>
      <c r="E49" s="6"/>
      <c r="F49" s="12"/>
      <c r="G49" s="12"/>
      <c r="H49" s="6"/>
      <c r="I49" s="6"/>
      <c r="J49" s="6"/>
    </row>
    <row x14ac:dyDescent="0.25" r="50" customHeight="1" ht="18.75">
      <c r="A50" s="12"/>
      <c r="B50" s="26"/>
      <c r="C50" s="12"/>
      <c r="D50" s="26"/>
      <c r="E50" s="6"/>
      <c r="F50" s="12"/>
      <c r="G50" s="12"/>
      <c r="H50" s="6"/>
      <c r="I50" s="6"/>
      <c r="J50" s="6"/>
    </row>
    <row x14ac:dyDescent="0.25" r="51" customHeight="1" ht="18.75">
      <c r="A51" s="12"/>
      <c r="B51" s="26"/>
      <c r="C51" s="12"/>
      <c r="D51" s="26"/>
      <c r="E51" s="6"/>
      <c r="F51" s="12"/>
      <c r="G51" s="12"/>
      <c r="H51" s="6"/>
      <c r="I51" s="6"/>
      <c r="J51" s="6"/>
    </row>
    <row x14ac:dyDescent="0.25" r="52" customHeight="1" ht="18.75">
      <c r="A52" s="12"/>
      <c r="B52" s="26"/>
      <c r="C52" s="12"/>
      <c r="D52" s="26"/>
      <c r="E52" s="6"/>
      <c r="F52" s="12"/>
      <c r="G52" s="12"/>
      <c r="H52" s="6"/>
      <c r="I52" s="6"/>
      <c r="J52" s="6"/>
    </row>
    <row x14ac:dyDescent="0.25" r="53" customHeight="1" ht="18.75">
      <c r="A53" s="12"/>
      <c r="B53" s="26"/>
      <c r="C53" s="12"/>
      <c r="D53" s="26"/>
      <c r="E53" s="6"/>
      <c r="F53" s="12"/>
      <c r="G53" s="12"/>
      <c r="H53" s="6"/>
      <c r="I53" s="6"/>
      <c r="J53" s="6"/>
    </row>
    <row x14ac:dyDescent="0.25" r="54" customHeight="1" ht="18.75">
      <c r="A54" s="12"/>
      <c r="B54" s="26"/>
      <c r="C54" s="12"/>
      <c r="D54" s="26"/>
      <c r="E54" s="6"/>
      <c r="F54" s="12"/>
      <c r="G54" s="12"/>
      <c r="H54" s="6"/>
      <c r="I54" s="6"/>
      <c r="J54" s="6"/>
    </row>
    <row x14ac:dyDescent="0.25" r="55" customHeight="1" ht="18.75">
      <c r="A55" s="12"/>
      <c r="B55" s="26"/>
      <c r="C55" s="12"/>
      <c r="D55" s="26"/>
      <c r="E55" s="6"/>
      <c r="F55" s="12"/>
      <c r="G55" s="12"/>
      <c r="H55" s="6"/>
      <c r="I55" s="6"/>
      <c r="J55" s="6"/>
    </row>
    <row x14ac:dyDescent="0.25" r="56" customHeight="1" ht="18.75">
      <c r="A56" s="12"/>
      <c r="B56" s="26"/>
      <c r="C56" s="12"/>
      <c r="D56" s="26"/>
      <c r="E56" s="6"/>
      <c r="F56" s="12"/>
      <c r="G56" s="12"/>
      <c r="H56" s="6"/>
      <c r="I56" s="6"/>
      <c r="J56" s="6"/>
    </row>
    <row x14ac:dyDescent="0.25" r="57" customHeight="1" ht="18.75">
      <c r="A57" s="12"/>
      <c r="B57" s="26"/>
      <c r="C57" s="12"/>
      <c r="D57" s="26"/>
      <c r="E57" s="6"/>
      <c r="F57" s="12"/>
      <c r="G57" s="12"/>
      <c r="H57" s="6"/>
      <c r="I57" s="6"/>
      <c r="J57" s="6"/>
    </row>
    <row x14ac:dyDescent="0.25" r="58" customHeight="1" ht="18.75">
      <c r="A58" s="12"/>
      <c r="B58" s="26"/>
      <c r="C58" s="12"/>
      <c r="D58" s="26"/>
      <c r="E58" s="6"/>
      <c r="F58" s="12"/>
      <c r="G58" s="12"/>
      <c r="H58" s="6"/>
      <c r="I58" s="6"/>
      <c r="J58" s="6"/>
    </row>
    <row x14ac:dyDescent="0.25" r="59" customHeight="1" ht="18.75">
      <c r="A59" s="12"/>
      <c r="B59" s="26"/>
      <c r="C59" s="12"/>
      <c r="D59" s="26"/>
      <c r="E59" s="6"/>
      <c r="F59" s="12"/>
      <c r="G59" s="12"/>
      <c r="H59" s="6"/>
      <c r="I59" s="6"/>
      <c r="J59" s="6"/>
    </row>
    <row x14ac:dyDescent="0.25" r="60" customHeight="1" ht="18.75">
      <c r="A60" s="12"/>
      <c r="B60" s="26"/>
      <c r="C60" s="12"/>
      <c r="D60" s="26"/>
      <c r="E60" s="6"/>
      <c r="F60" s="12"/>
      <c r="G60" s="12"/>
      <c r="H60" s="6"/>
      <c r="I60" s="6"/>
      <c r="J60" s="6"/>
    </row>
    <row x14ac:dyDescent="0.25" r="61" customHeight="1" ht="18.75">
      <c r="A61" s="12"/>
      <c r="B61" s="26"/>
      <c r="C61" s="12"/>
      <c r="D61" s="26"/>
      <c r="E61" s="6"/>
      <c r="F61" s="12"/>
      <c r="G61" s="12"/>
      <c r="H61" s="6"/>
      <c r="I61" s="6"/>
      <c r="J61" s="6"/>
    </row>
    <row x14ac:dyDescent="0.25" r="62" customHeight="1" ht="18.75">
      <c r="A62" s="12"/>
      <c r="B62" s="26"/>
      <c r="C62" s="12"/>
      <c r="D62" s="26"/>
      <c r="E62" s="6"/>
      <c r="F62" s="12"/>
      <c r="G62" s="12"/>
      <c r="H62" s="6"/>
      <c r="I62" s="6"/>
      <c r="J62" s="6"/>
    </row>
    <row x14ac:dyDescent="0.25" r="63" customHeight="1" ht="18.75">
      <c r="A63" s="12"/>
      <c r="B63" s="26"/>
      <c r="C63" s="12"/>
      <c r="D63" s="26"/>
      <c r="E63" s="6"/>
      <c r="F63" s="12"/>
      <c r="G63" s="12"/>
      <c r="H63" s="6"/>
      <c r="I63" s="6"/>
      <c r="J63" s="6"/>
    </row>
    <row x14ac:dyDescent="0.25" r="64" customHeight="1" ht="18.75">
      <c r="A64" s="12"/>
      <c r="B64" s="26"/>
      <c r="C64" s="12"/>
      <c r="D64" s="26"/>
      <c r="E64" s="6"/>
      <c r="F64" s="12"/>
      <c r="G64" s="12"/>
      <c r="H64" s="6"/>
      <c r="I64" s="6"/>
      <c r="J64" s="6"/>
    </row>
    <row x14ac:dyDescent="0.25" r="65" customHeight="1" ht="18.75">
      <c r="A65" s="12"/>
      <c r="B65" s="26"/>
      <c r="C65" s="12"/>
      <c r="D65" s="26"/>
      <c r="E65" s="6"/>
      <c r="F65" s="12"/>
      <c r="G65" s="12"/>
      <c r="H65" s="6"/>
      <c r="I65" s="6"/>
      <c r="J6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4"/>
  <sheetViews>
    <sheetView workbookViewId="0"/>
  </sheetViews>
  <sheetFormatPr defaultRowHeight="15" x14ac:dyDescent="0.25"/>
  <cols>
    <col min="1" max="1" style="8" width="24.005" customWidth="1" bestFit="1"/>
    <col min="2" max="2" style="9" width="120.005" customWidth="1" bestFit="1"/>
  </cols>
  <sheetData>
    <row x14ac:dyDescent="0.25" r="1" customHeight="1" ht="18.75" customFormat="1" s="1">
      <c r="A1" s="2" t="s">
        <v>0</v>
      </c>
      <c r="B1" s="3" t="s">
        <v>1</v>
      </c>
    </row>
    <row x14ac:dyDescent="0.25" r="2" customHeight="1" ht="18.75" customFormat="1" s="1">
      <c r="A2" s="2" t="s">
        <v>2</v>
      </c>
      <c r="B2" s="3" t="s">
        <v>3</v>
      </c>
    </row>
    <row x14ac:dyDescent="0.25" r="3" customHeight="1" ht="18.75" customFormat="1" s="1">
      <c r="A3" s="2" t="s">
        <v>4</v>
      </c>
      <c r="B3" s="3" t="s">
        <v>5</v>
      </c>
    </row>
    <row x14ac:dyDescent="0.25" r="4" customHeight="1" ht="18.75" customFormat="1" s="1">
      <c r="A4" s="2" t="s">
        <v>6</v>
      </c>
      <c r="B4" s="3" t="s">
        <v>7</v>
      </c>
    </row>
    <row x14ac:dyDescent="0.25" r="5" customHeight="1" ht="18.75" customFormat="1" s="1">
      <c r="A5" s="2" t="s">
        <v>8</v>
      </c>
      <c r="B5" s="4">
        <v>37</v>
      </c>
    </row>
    <row x14ac:dyDescent="0.25" r="6" customHeight="1" ht="18.75" customFormat="1" s="1">
      <c r="A6" s="2" t="s">
        <v>9</v>
      </c>
      <c r="B6" s="4">
        <v>1</v>
      </c>
    </row>
    <row x14ac:dyDescent="0.25" r="7" customHeight="1" ht="18.75" customFormat="1" s="1">
      <c r="A7" s="2" t="s">
        <v>10</v>
      </c>
      <c r="B7" s="4">
        <v>38</v>
      </c>
    </row>
    <row x14ac:dyDescent="0.25" r="8" customHeight="1" ht="18.75" customFormat="1" s="1">
      <c r="A8" s="2" t="s">
        <v>11</v>
      </c>
      <c r="B8" s="3" t="s">
        <v>12</v>
      </c>
    </row>
    <row x14ac:dyDescent="0.25" r="9" customHeight="1" ht="18.75" customFormat="1" s="1">
      <c r="A9" s="2" t="s">
        <v>13</v>
      </c>
      <c r="B9" s="3" t="s">
        <v>14</v>
      </c>
    </row>
    <row x14ac:dyDescent="0.25" r="10" customHeight="1" ht="18.75" customFormat="1" s="1">
      <c r="A10" s="2" t="s">
        <v>15</v>
      </c>
      <c r="B10" s="3" t="s">
        <v>16</v>
      </c>
    </row>
    <row x14ac:dyDescent="0.25" r="11" customHeight="1" ht="18.75" customFormat="1" s="1">
      <c r="A11" s="2" t="s">
        <v>17</v>
      </c>
      <c r="B11" s="3" t="s">
        <v>18</v>
      </c>
    </row>
    <row x14ac:dyDescent="0.25" r="12" customHeight="1" ht="18.75" customFormat="1" s="1">
      <c r="A12" s="2" t="s">
        <v>19</v>
      </c>
      <c r="B12" s="3" t="s">
        <v>20</v>
      </c>
    </row>
    <row x14ac:dyDescent="0.25" r="13" customHeight="1" ht="18.75">
      <c r="A13" s="5" t="s">
        <v>21</v>
      </c>
      <c r="B13" s="3" t="s">
        <v>22</v>
      </c>
    </row>
    <row x14ac:dyDescent="0.25" r="14" customHeight="1" ht="18.75">
      <c r="A14" s="6" t="s">
        <v>23</v>
      </c>
      <c r="B14" s="7" t="s">
        <v>24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CATCH整星配套表</vt:lpstr>
      <vt:lpstr>生成说明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2026-06-16T08:20:55.172Z</dcterms:created>
  <dcterms:modified xsi:type="dcterms:W3CDTF">2026-06-16T08:20:55.172Z</dcterms:modified>
</cp:coreProperties>
</file>