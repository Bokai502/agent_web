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name="立方星整星配套表" sheetId="1" state="visible" r:id="rId1"/>
    <sheet name="生成说明" sheetId="2" state="visible" r:id="rId2"/>
  </sheets>
  <definedNames>
    <definedName name="_xlnm._FilterDatabase" localSheetId="0" hidden="1">'立方星整星配套表'!$A$1:$G$1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宋体"/>
      <family val="2"/>
      <color rgb="FF000000"/>
      <sz val="11"/>
    </font>
    <font>
      <name val="Times New Roman"/>
      <family val="2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d9eaf7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medium">
        <color rgb="FF00000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medium">
        <color rgb="FF000000"/>
      </top>
      <bottom/>
      <diagonal/>
    </border>
  </borders>
  <cellStyleXfs count="1">
    <xf numFmtId="0" fontId="0" fillId="0" borderId="1"/>
  </cellStyleXfs>
  <cellXfs count="3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wrapText="1"/>
    </xf>
    <xf numFmtId="3" fontId="2" fillId="0" borderId="1" applyAlignment="1" pivotButton="0" quotePrefix="0" xfId="0">
      <alignment horizontal="left" wrapText="1"/>
    </xf>
    <xf numFmtId="3" fontId="2" fillId="0" borderId="1" applyAlignment="1" pivotButton="0" quotePrefix="0" xfId="0">
      <alignment horizontal="right" wrapText="1"/>
    </xf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 wrapText="1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 wrapText="1"/>
    </xf>
    <xf numFmtId="0" fontId="1" fillId="2" borderId="2" applyAlignment="1" pivotButton="0" quotePrefix="0" xfId="0">
      <alignment horizontal="center" wrapText="1"/>
    </xf>
    <xf numFmtId="164" fontId="1" fillId="2" borderId="2" applyAlignment="1" pivotButton="0" quotePrefix="0" xfId="0">
      <alignment horizontal="center" wrapText="1"/>
    </xf>
    <xf numFmtId="0" fontId="0" fillId="0" borderId="0" applyAlignment="1" pivotButton="0" quotePrefix="0" xfId="0">
      <alignment horizontal="general" wrapText="1"/>
    </xf>
    <xf numFmtId="0" fontId="1" fillId="3" borderId="3" applyAlignment="1" pivotButton="0" quotePrefix="0" xfId="0">
      <alignment horizontal="center" wrapText="1"/>
    </xf>
    <xf numFmtId="164" fontId="1" fillId="3" borderId="3" applyAlignment="1" pivotButton="0" quotePrefix="0" xfId="0">
      <alignment horizontal="center" wrapText="1"/>
    </xf>
    <xf numFmtId="0" fontId="3" fillId="2" borderId="4" applyAlignment="1" pivotButton="0" quotePrefix="0" xfId="0">
      <alignment horizontal="center" wrapText="1"/>
    </xf>
    <xf numFmtId="164" fontId="4" fillId="2" borderId="4" applyAlignment="1" pivotButton="0" quotePrefix="0" xfId="0">
      <alignment horizontal="center" wrapText="1"/>
    </xf>
    <xf numFmtId="0" fontId="4" fillId="2" borderId="4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right"/>
    </xf>
    <xf numFmtId="0" fontId="2" fillId="0" borderId="1" applyAlignment="1" pivotButton="0" quotePrefix="0" xfId="0">
      <alignment horizontal="center" wrapText="1"/>
    </xf>
    <xf numFmtId="0" fontId="1" fillId="0" borderId="5" applyAlignment="1" pivotButton="0" quotePrefix="0" xfId="0">
      <alignment horizontal="center" wrapText="1"/>
    </xf>
    <xf numFmtId="164" fontId="1" fillId="0" borderId="5" applyAlignment="1" pivotButton="0" quotePrefix="0" xfId="0">
      <alignment horizontal="center" wrapText="1"/>
    </xf>
    <xf numFmtId="164" fontId="2" fillId="0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center" wrapText="1"/>
    </xf>
    <xf numFmtId="164" fontId="1" fillId="0" borderId="1" applyAlignment="1" pivotButton="0" quotePrefix="0" xfId="0">
      <alignment horizontal="center" wrapText="1"/>
    </xf>
    <xf numFmtId="16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 wrapText="1"/>
    </xf>
    <xf numFmtId="164" fontId="0" fillId="0" borderId="0" applyAlignment="1" pivotButton="0" quotePrefix="0" xfId="0">
      <alignment horizontal="general"/>
    </xf>
    <xf numFmtId="0" fontId="2" fillId="2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164" fontId="2" fillId="3" borderId="3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 wrapText="1"/>
    </xf>
    <xf numFmtId="164" fontId="4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164" fontId="2" fillId="0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G56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bestFit="1" customWidth="1" style="27" min="1" max="1"/>
    <col width="14" bestFit="1" customWidth="1" style="28" min="2" max="2"/>
    <col width="24" bestFit="1" customWidth="1" style="27" min="3" max="3"/>
    <col width="16" bestFit="1" customWidth="1" style="28" min="4" max="4"/>
    <col width="14" bestFit="1" customWidth="1" style="8" min="5" max="5"/>
    <col width="18" bestFit="1" customWidth="1" style="27" min="6" max="6"/>
    <col width="18" bestFit="1" customWidth="1" style="27" min="7" max="7"/>
    <col hidden="1" width="13.57642857142857" bestFit="1" customWidth="1" style="8" min="8" max="8"/>
    <col hidden="1" width="13.57642857142857" bestFit="1" customWidth="1" style="8" min="9" max="9"/>
    <col hidden="1" width="13.57642857142857" bestFit="1" customWidth="1" style="8" min="10" max="10"/>
  </cols>
  <sheetData>
    <row r="1" ht="28" customFormat="1" customHeight="1" s="1">
      <c r="A1" s="29" t="inlineStr">
        <is>
          <t>产品名称</t>
        </is>
      </c>
      <c r="B1" s="29" t="inlineStr">
        <is>
          <t>重量（Kg）</t>
        </is>
      </c>
      <c r="C1" s="29" t="inlineStr">
        <is>
          <t>包络尺寸（mm）</t>
        </is>
      </c>
      <c r="D1" s="29" t="inlineStr">
        <is>
          <t>稳态功耗（W）</t>
        </is>
      </c>
      <c r="E1" s="29" t="inlineStr">
        <is>
          <t>峰值功耗（W）</t>
        </is>
      </c>
      <c r="F1" s="29" t="inlineStr">
        <is>
          <t>工作温度（℃）</t>
        </is>
      </c>
      <c r="G1" s="29" t="inlineStr">
        <is>
          <t>配套单位</t>
        </is>
      </c>
    </row>
    <row r="2" ht="21" customFormat="1" customHeight="1" s="1">
      <c r="A2" s="30" t="inlineStr">
        <is>
          <t>结构与机构分系统</t>
        </is>
      </c>
      <c r="B2" s="31">
        <f>SUM(B3:B7)</f>
        <v/>
      </c>
      <c r="C2" s="30" t="n"/>
      <c r="D2" s="31">
        <f>SUM(D3:D7)</f>
        <v/>
      </c>
      <c r="E2" s="31">
        <f>SUM(E3:E7)</f>
        <v/>
      </c>
      <c r="F2" s="30" t="n"/>
      <c r="G2" s="30" t="n"/>
    </row>
    <row r="3" ht="18.75" customFormat="1" customHeight="1" s="1">
      <c r="A3" s="32" t="inlineStr">
        <is>
          <t>驱动机构框架 1（P013）</t>
        </is>
      </c>
      <c r="B3" s="33" t="n">
        <v>1.366253</v>
      </c>
      <c r="C3" s="34" t="inlineStr">
        <is>
          <t>118.005x180.005x804.005</t>
        </is>
      </c>
      <c r="D3" s="33" t="n">
        <v>0</v>
      </c>
      <c r="E3" s="33" t="n"/>
      <c r="F3" s="34" t="inlineStr">
        <is>
          <t>-100 ~ 90℃</t>
        </is>
      </c>
      <c r="G3" s="34" t="inlineStr">
        <is>
          <t>立方星JSON</t>
        </is>
      </c>
    </row>
    <row r="4" ht="18.75" customFormat="1" customHeight="1" s="1">
      <c r="A4" s="32" t="inlineStr">
        <is>
          <t>驱动机构框架 2（P014）</t>
        </is>
      </c>
      <c r="B4" s="33" t="n">
        <v>1.366253</v>
      </c>
      <c r="C4" s="34" t="inlineStr">
        <is>
          <t>180.005x118.005x804.005</t>
        </is>
      </c>
      <c r="D4" s="33" t="n">
        <v>0</v>
      </c>
      <c r="E4" s="33" t="n"/>
      <c r="F4" s="34" t="inlineStr">
        <is>
          <t>-100 ~ 90℃</t>
        </is>
      </c>
      <c r="G4" s="34" t="inlineStr">
        <is>
          <t>立方星JSON</t>
        </is>
      </c>
    </row>
    <row r="5" ht="18.75" customFormat="1" customHeight="1" s="1">
      <c r="A5" s="32" t="inlineStr">
        <is>
          <t>驱动机构框架 3（P015）</t>
        </is>
      </c>
      <c r="B5" s="33" t="n">
        <v>1.366253</v>
      </c>
      <c r="C5" s="34" t="inlineStr">
        <is>
          <t>118.005x180.005x804.005</t>
        </is>
      </c>
      <c r="D5" s="33" t="n">
        <v>0</v>
      </c>
      <c r="E5" s="33" t="n"/>
      <c r="F5" s="34" t="inlineStr">
        <is>
          <t>-100 ~ 90℃</t>
        </is>
      </c>
      <c r="G5" s="34" t="inlineStr">
        <is>
          <t>立方星JSON</t>
        </is>
      </c>
    </row>
    <row r="6" ht="18.75" customFormat="1" customHeight="1" s="1">
      <c r="A6" s="32" t="inlineStr">
        <is>
          <t>驱动机构框架 4（P016）</t>
        </is>
      </c>
      <c r="B6" s="33" t="n">
        <v>1.366253</v>
      </c>
      <c r="C6" s="34" t="inlineStr">
        <is>
          <t>180.005x118.005x804.005</t>
        </is>
      </c>
      <c r="D6" s="33" t="n">
        <v>0</v>
      </c>
      <c r="E6" s="33" t="n"/>
      <c r="F6" s="34" t="inlineStr">
        <is>
          <t>-100 ~ 90℃</t>
        </is>
      </c>
      <c r="G6" s="34" t="inlineStr">
        <is>
          <t>立方星JSON</t>
        </is>
      </c>
    </row>
    <row r="7" ht="18.75" customFormat="1" customHeight="1" s="1">
      <c r="A7" s="32" t="inlineStr">
        <is>
          <t>驱动机构安装设备 4（P017）</t>
        </is>
      </c>
      <c r="B7" s="33" t="n">
        <v>1.707552</v>
      </c>
      <c r="C7" s="34" t="inlineStr">
        <is>
          <t>180x587.826x201.726</t>
        </is>
      </c>
      <c r="D7" s="33" t="n">
        <v>4</v>
      </c>
      <c r="E7" s="33" t="n"/>
      <c r="F7" s="34" t="inlineStr">
        <is>
          <t>-100 ~ 90℃</t>
        </is>
      </c>
      <c r="G7" s="34" t="inlineStr">
        <is>
          <t>立方星JSON</t>
        </is>
      </c>
    </row>
    <row r="8" ht="21" customFormat="1" customHeight="1" s="1">
      <c r="A8" s="30" t="inlineStr">
        <is>
          <t>姿轨控分系统</t>
        </is>
      </c>
      <c r="B8" s="31">
        <f>SUM(B9:B14)</f>
        <v/>
      </c>
      <c r="C8" s="30" t="n"/>
      <c r="D8" s="31">
        <f>SUM(D9:D14)</f>
        <v/>
      </c>
      <c r="E8" s="31">
        <f>SUM(E9:E14)</f>
        <v/>
      </c>
      <c r="F8" s="30" t="n"/>
      <c r="G8" s="30" t="n"/>
    </row>
    <row r="9" ht="18.75" customFormat="1" customHeight="1" s="1">
      <c r="A9" s="32" t="inlineStr">
        <is>
          <t>反作用轮 V7 1（P030）</t>
        </is>
      </c>
      <c r="B9" s="33" t="n">
        <v>0.027</v>
      </c>
      <c r="C9" s="34" t="inlineStr">
        <is>
          <t>150x150x60</t>
        </is>
      </c>
      <c r="D9" s="33" t="n">
        <v>8</v>
      </c>
      <c r="E9" s="33" t="n"/>
      <c r="F9" s="34" t="inlineStr">
        <is>
          <t>-40 ~ 60℃</t>
        </is>
      </c>
      <c r="G9" s="34" t="inlineStr">
        <is>
          <t>立方星JSON</t>
        </is>
      </c>
    </row>
    <row r="10" ht="18.75" customFormat="1" customHeight="1" s="1">
      <c r="A10" s="32" t="inlineStr">
        <is>
          <t>反作用轮 V7 2（P031）</t>
        </is>
      </c>
      <c r="B10" s="33" t="n">
        <v>0.027</v>
      </c>
      <c r="C10" s="34" t="inlineStr">
        <is>
          <t>60x150x150</t>
        </is>
      </c>
      <c r="D10" s="33" t="n">
        <v>8</v>
      </c>
      <c r="E10" s="33" t="n"/>
      <c r="F10" s="34" t="inlineStr">
        <is>
          <t>-40 ~ 60℃</t>
        </is>
      </c>
      <c r="G10" s="34" t="inlineStr">
        <is>
          <t>立方星JSON</t>
        </is>
      </c>
    </row>
    <row r="11" ht="18.75" customFormat="1" customHeight="1" s="1">
      <c r="A11" s="32" t="inlineStr">
        <is>
          <t>反作用轮 V7 3（P032）</t>
        </is>
      </c>
      <c r="B11" s="33" t="n">
        <v>0.027</v>
      </c>
      <c r="C11" s="34" t="inlineStr">
        <is>
          <t>150x60x150</t>
        </is>
      </c>
      <c r="D11" s="33" t="n">
        <v>8</v>
      </c>
      <c r="E11" s="33" t="n"/>
      <c r="F11" s="34" t="inlineStr">
        <is>
          <t>-40 ~ 60℃</t>
        </is>
      </c>
      <c r="G11" s="34" t="inlineStr">
        <is>
          <t>立方星JSON</t>
        </is>
      </c>
    </row>
    <row r="12" ht="18.75" customFormat="1" customHeight="1" s="1">
      <c r="A12" s="32" t="inlineStr">
        <is>
          <t>反作用轮 V7 4（P033）</t>
        </is>
      </c>
      <c r="B12" s="33" t="n">
        <v>0.027</v>
      </c>
      <c r="C12" s="34" t="inlineStr">
        <is>
          <t>150x150x60</t>
        </is>
      </c>
      <c r="D12" s="33" t="n">
        <v>8</v>
      </c>
      <c r="E12" s="33" t="n"/>
      <c r="F12" s="34" t="inlineStr">
        <is>
          <t>-40 ~ 60℃</t>
        </is>
      </c>
      <c r="G12" s="34" t="inlineStr">
        <is>
          <t>立方星JSON</t>
        </is>
      </c>
    </row>
    <row r="13" ht="18.75" customFormat="1" customHeight="1" s="1">
      <c r="A13" s="32" t="inlineStr">
        <is>
          <t>反作用轮 V7 5（P034）</t>
        </is>
      </c>
      <c r="B13" s="33" t="n">
        <v>0.027</v>
      </c>
      <c r="C13" s="34" t="inlineStr">
        <is>
          <t>60x150x150</t>
        </is>
      </c>
      <c r="D13" s="33" t="n">
        <v>8</v>
      </c>
      <c r="E13" s="33" t="n"/>
      <c r="F13" s="34" t="inlineStr">
        <is>
          <t>-40 ~ 60℃</t>
        </is>
      </c>
      <c r="G13" s="34" t="inlineStr">
        <is>
          <t>立方星JSON</t>
        </is>
      </c>
    </row>
    <row r="14" ht="18.75" customFormat="1" customHeight="1" s="1">
      <c r="A14" s="32" t="inlineStr">
        <is>
          <t>反作用轮 V7 6（P035）</t>
        </is>
      </c>
      <c r="B14" s="33" t="n">
        <v>0.027</v>
      </c>
      <c r="C14" s="34" t="inlineStr">
        <is>
          <t>150x60x150</t>
        </is>
      </c>
      <c r="D14" s="33" t="n">
        <v>8</v>
      </c>
      <c r="E14" s="33" t="n"/>
      <c r="F14" s="34" t="inlineStr">
        <is>
          <t>-40 ~ 60℃</t>
        </is>
      </c>
      <c r="G14" s="34" t="inlineStr">
        <is>
          <t>立方星JSON</t>
        </is>
      </c>
    </row>
    <row r="15" ht="21" customFormat="1" customHeight="1" s="1">
      <c r="A15" s="30" t="inlineStr">
        <is>
          <t>推进分系统</t>
        </is>
      </c>
      <c r="B15" s="31">
        <f>SUM(B16:B33)</f>
        <v/>
      </c>
      <c r="C15" s="30" t="n"/>
      <c r="D15" s="31">
        <f>SUM(D16:D33)</f>
        <v/>
      </c>
      <c r="E15" s="31">
        <f>SUM(E16:E33)</f>
        <v/>
      </c>
      <c r="F15" s="30" t="n"/>
      <c r="G15" s="30" t="n"/>
    </row>
    <row r="16" ht="30" customFormat="1" customHeight="1" s="1">
      <c r="A16" s="32" t="inlineStr">
        <is>
          <t>Dawn Aerospace B20 推力器 1（P001）</t>
        </is>
      </c>
      <c r="B16" s="33" t="n">
        <v>0.01858</v>
      </c>
      <c r="C16" s="34" t="inlineStr">
        <is>
          <t>79.19x70.123x167.299</t>
        </is>
      </c>
      <c r="D16" s="33" t="n">
        <v>12</v>
      </c>
      <c r="E16" s="33" t="n"/>
      <c r="F16" s="34" t="inlineStr">
        <is>
          <t>-5 ~ 30℃</t>
        </is>
      </c>
      <c r="G16" s="34" t="inlineStr">
        <is>
          <t>立方星JSON</t>
        </is>
      </c>
    </row>
    <row r="17" ht="30" customFormat="1" customHeight="1" s="1">
      <c r="A17" s="32" t="inlineStr">
        <is>
          <t>Dawn Aerospace B20 推力器 2（P002）</t>
        </is>
      </c>
      <c r="B17" s="33" t="n">
        <v>0.01858</v>
      </c>
      <c r="C17" s="34" t="inlineStr">
        <is>
          <t>79.19x70.123x167.299</t>
        </is>
      </c>
      <c r="D17" s="33" t="n">
        <v>12</v>
      </c>
      <c r="E17" s="33" t="n"/>
      <c r="F17" s="34" t="inlineStr">
        <is>
          <t>-5 ~ 30℃</t>
        </is>
      </c>
      <c r="G17" s="34" t="inlineStr">
        <is>
          <t>立方星JSON</t>
        </is>
      </c>
    </row>
    <row r="18" ht="18.75" customFormat="1" customHeight="1" s="1">
      <c r="A18" s="32" t="inlineStr">
        <is>
          <t>冷气推进贮箱 1（P018）</t>
        </is>
      </c>
      <c r="B18" s="33" t="n">
        <v>1.6</v>
      </c>
      <c r="C18" s="34" t="inlineStr">
        <is>
          <t>200x200x800</t>
        </is>
      </c>
      <c r="D18" s="33" t="n">
        <v>0</v>
      </c>
      <c r="E18" s="33" t="n"/>
      <c r="F18" s="34" t="inlineStr">
        <is>
          <t>-30 ~ 60℃</t>
        </is>
      </c>
      <c r="G18" s="34" t="inlineStr">
        <is>
          <t>立方星JSON</t>
        </is>
      </c>
    </row>
    <row r="19" ht="18.75" customFormat="1" customHeight="1" s="1">
      <c r="A19" s="32" t="inlineStr">
        <is>
          <t>冷气推进贮箱 2（P019）</t>
        </is>
      </c>
      <c r="B19" s="33" t="n">
        <v>1.6</v>
      </c>
      <c r="C19" s="34" t="inlineStr">
        <is>
          <t>200x200x800</t>
        </is>
      </c>
      <c r="D19" s="33" t="n">
        <v>0</v>
      </c>
      <c r="E19" s="33" t="n"/>
      <c r="F19" s="34" t="inlineStr">
        <is>
          <t>-30 ~ 60℃</t>
        </is>
      </c>
      <c r="G19" s="34" t="inlineStr">
        <is>
          <t>立方星JSON</t>
        </is>
      </c>
    </row>
    <row r="20" ht="30" customFormat="1" customHeight="1" s="1">
      <c r="A20" s="32" t="inlineStr">
        <is>
          <t>Dawn Aerospace B20 推力器 3（P036）</t>
        </is>
      </c>
      <c r="B20" s="33" t="n">
        <v>0.01858</v>
      </c>
      <c r="C20" s="34" t="inlineStr">
        <is>
          <t>79.19x70.123x167.299</t>
        </is>
      </c>
      <c r="D20" s="33" t="n">
        <v>12</v>
      </c>
      <c r="E20" s="33" t="n"/>
      <c r="F20" s="34" t="inlineStr">
        <is>
          <t>-5 ~ 30℃</t>
        </is>
      </c>
      <c r="G20" s="34" t="inlineStr">
        <is>
          <t>立方星JSON</t>
        </is>
      </c>
    </row>
    <row r="21" ht="30" customFormat="1" customHeight="1" s="1">
      <c r="A21" s="32" t="inlineStr">
        <is>
          <t>Dawn Aerospace B20 推力器 4（P037）</t>
        </is>
      </c>
      <c r="B21" s="33" t="n">
        <v>0.01858</v>
      </c>
      <c r="C21" s="34" t="inlineStr">
        <is>
          <t>79.19x70.123x167.299</t>
        </is>
      </c>
      <c r="D21" s="33" t="n">
        <v>12</v>
      </c>
      <c r="E21" s="33" t="n"/>
      <c r="F21" s="34" t="inlineStr">
        <is>
          <t>-5 ~ 30℃</t>
        </is>
      </c>
      <c r="G21" s="34" t="inlineStr">
        <is>
          <t>立方星JSON</t>
        </is>
      </c>
    </row>
    <row r="22" ht="30" customHeight="1">
      <c r="A22" s="32" t="inlineStr">
        <is>
          <t>Dawn Aerospace B20 推力器 5（P038）</t>
        </is>
      </c>
      <c r="B22" s="33" t="n">
        <v>0.01858</v>
      </c>
      <c r="C22" s="34" t="inlineStr">
        <is>
          <t>167.299x79.19x70.123</t>
        </is>
      </c>
      <c r="D22" s="33" t="n">
        <v>12</v>
      </c>
      <c r="E22" s="33" t="n"/>
      <c r="F22" s="34" t="inlineStr">
        <is>
          <t>-5 ~ 30℃</t>
        </is>
      </c>
      <c r="G22" s="34" t="inlineStr">
        <is>
          <t>立方星JSON</t>
        </is>
      </c>
    </row>
    <row r="23" ht="30" customFormat="1" customHeight="1" s="1">
      <c r="A23" s="32" t="inlineStr">
        <is>
          <t>Dawn Aerospace B20 推力器 6（P039）</t>
        </is>
      </c>
      <c r="B23" s="33" t="n">
        <v>0.01858</v>
      </c>
      <c r="C23" s="34" t="inlineStr">
        <is>
          <t>167.299x79.19x70.123</t>
        </is>
      </c>
      <c r="D23" s="33" t="n">
        <v>12</v>
      </c>
      <c r="E23" s="33" t="n"/>
      <c r="F23" s="34" t="inlineStr">
        <is>
          <t>-5 ~ 30℃</t>
        </is>
      </c>
      <c r="G23" s="34" t="inlineStr">
        <is>
          <t>立方星JSON</t>
        </is>
      </c>
    </row>
    <row r="24" ht="30" customFormat="1" customHeight="1" s="1">
      <c r="A24" s="32" t="inlineStr">
        <is>
          <t>Dawn Aerospace B20 推力器 7（P040）</t>
        </is>
      </c>
      <c r="B24" s="33" t="n">
        <v>0.01858</v>
      </c>
      <c r="C24" s="34" t="inlineStr">
        <is>
          <t>167.299x79.19x70.123</t>
        </is>
      </c>
      <c r="D24" s="33" t="n">
        <v>12</v>
      </c>
      <c r="E24" s="33" t="n"/>
      <c r="F24" s="34" t="inlineStr">
        <is>
          <t>-5 ~ 30℃</t>
        </is>
      </c>
      <c r="G24" s="34" t="inlineStr">
        <is>
          <t>立方星JSON</t>
        </is>
      </c>
    </row>
    <row r="25" ht="30" customHeight="1">
      <c r="A25" s="32" t="inlineStr">
        <is>
          <t>Dawn Aerospace B20 推力器 8（P041）</t>
        </is>
      </c>
      <c r="B25" s="33" t="n">
        <v>0.01858</v>
      </c>
      <c r="C25" s="34" t="inlineStr">
        <is>
          <t>167.299x79.19x70.123</t>
        </is>
      </c>
      <c r="D25" s="33" t="n">
        <v>12</v>
      </c>
      <c r="E25" s="33" t="n"/>
      <c r="F25" s="34" t="inlineStr">
        <is>
          <t>-5 ~ 30℃</t>
        </is>
      </c>
      <c r="G25" s="34" t="inlineStr">
        <is>
          <t>立方星JSON</t>
        </is>
      </c>
    </row>
    <row r="26" ht="30" customFormat="1" customHeight="1" s="1">
      <c r="A26" s="32" t="inlineStr">
        <is>
          <t>Dawn Aerospace B20 推力器 9（P042）</t>
        </is>
      </c>
      <c r="B26" s="33" t="n">
        <v>0.01858</v>
      </c>
      <c r="C26" s="34" t="inlineStr">
        <is>
          <t>70.123x167.299x79.19</t>
        </is>
      </c>
      <c r="D26" s="33" t="n">
        <v>12</v>
      </c>
      <c r="E26" s="33" t="n"/>
      <c r="F26" s="34" t="inlineStr">
        <is>
          <t>-5 ~ 30℃</t>
        </is>
      </c>
      <c r="G26" s="34" t="inlineStr">
        <is>
          <t>立方星JSON</t>
        </is>
      </c>
    </row>
    <row r="27" ht="30" customFormat="1" customHeight="1" s="1">
      <c r="A27" s="32" t="inlineStr">
        <is>
          <t>Dawn Aerospace B20 推力器 10（P043）</t>
        </is>
      </c>
      <c r="B27" s="33" t="n">
        <v>0.01858</v>
      </c>
      <c r="C27" s="34" t="inlineStr">
        <is>
          <t>70.123x167.299x79.19</t>
        </is>
      </c>
      <c r="D27" s="33" t="n">
        <v>12</v>
      </c>
      <c r="E27" s="33" t="n"/>
      <c r="F27" s="34" t="inlineStr">
        <is>
          <t>-5 ~ 30℃</t>
        </is>
      </c>
      <c r="G27" s="34" t="inlineStr">
        <is>
          <t>立方星JSON</t>
        </is>
      </c>
    </row>
    <row r="28" ht="30" customFormat="1" customHeight="1" s="1">
      <c r="A28" s="32" t="inlineStr">
        <is>
          <t>Dawn Aerospace B20 推力器 11（P044）</t>
        </is>
      </c>
      <c r="B28" s="33" t="n">
        <v>0.01858</v>
      </c>
      <c r="C28" s="34" t="inlineStr">
        <is>
          <t>70.123x167.299x79.19</t>
        </is>
      </c>
      <c r="D28" s="33" t="n">
        <v>12</v>
      </c>
      <c r="E28" s="33" t="n"/>
      <c r="F28" s="34" t="inlineStr">
        <is>
          <t>-5 ~ 30℃</t>
        </is>
      </c>
      <c r="G28" s="34" t="inlineStr">
        <is>
          <t>立方星JSON</t>
        </is>
      </c>
    </row>
    <row r="29" ht="30" customFormat="1" customHeight="1" s="1">
      <c r="A29" s="32" t="inlineStr">
        <is>
          <t>Dawn Aerospace B20 推力器 12（P045）</t>
        </is>
      </c>
      <c r="B29" s="33" t="n">
        <v>0.01858</v>
      </c>
      <c r="C29" s="34" t="inlineStr">
        <is>
          <t>70.123x167.299x79.19</t>
        </is>
      </c>
      <c r="D29" s="33" t="n">
        <v>12</v>
      </c>
      <c r="E29" s="33" t="n"/>
      <c r="F29" s="34" t="inlineStr">
        <is>
          <t>-5 ~ 30℃</t>
        </is>
      </c>
      <c r="G29" s="34" t="inlineStr">
        <is>
          <t>立方星JSON</t>
        </is>
      </c>
    </row>
    <row r="30" ht="30" customFormat="1" customHeight="1" s="1">
      <c r="A30" s="32" t="inlineStr">
        <is>
          <t>Dawn Aerospace B20 推力器 13（P046）</t>
        </is>
      </c>
      <c r="B30" s="33" t="n">
        <v>0.01858</v>
      </c>
      <c r="C30" s="34" t="inlineStr">
        <is>
          <t>167.299x79.19x70.123</t>
        </is>
      </c>
      <c r="D30" s="33" t="n">
        <v>12</v>
      </c>
      <c r="E30" s="33" t="n"/>
      <c r="F30" s="34" t="inlineStr">
        <is>
          <t>-5 ~ 30℃</t>
        </is>
      </c>
      <c r="G30" s="34" t="inlineStr">
        <is>
          <t>立方星JSON</t>
        </is>
      </c>
    </row>
    <row r="31" ht="30" customHeight="1">
      <c r="A31" s="32" t="inlineStr">
        <is>
          <t>Dawn Aerospace B20 推力器 14（P047）</t>
        </is>
      </c>
      <c r="B31" s="33" t="n">
        <v>0.01858</v>
      </c>
      <c r="C31" s="34" t="inlineStr">
        <is>
          <t>167.299x79.19x70.123</t>
        </is>
      </c>
      <c r="D31" s="33" t="n">
        <v>12</v>
      </c>
      <c r="E31" s="33" t="n"/>
      <c r="F31" s="34" t="inlineStr">
        <is>
          <t>-5 ~ 30℃</t>
        </is>
      </c>
      <c r="G31" s="34" t="inlineStr">
        <is>
          <t>立方星JSON</t>
        </is>
      </c>
    </row>
    <row r="32" ht="30" customFormat="1" customHeight="1" s="1">
      <c r="A32" s="32" t="inlineStr">
        <is>
          <t>Dawn Aerospace B20 推力器 15（P048）</t>
        </is>
      </c>
      <c r="B32" s="33" t="n">
        <v>0.01858</v>
      </c>
      <c r="C32" s="34" t="inlineStr">
        <is>
          <t>167.299x79.19x70.123</t>
        </is>
      </c>
      <c r="D32" s="33" t="n">
        <v>12</v>
      </c>
      <c r="E32" s="33" t="n"/>
      <c r="F32" s="34" t="inlineStr">
        <is>
          <t>-5 ~ 30℃</t>
        </is>
      </c>
      <c r="G32" s="34" t="inlineStr">
        <is>
          <t>立方星JSON</t>
        </is>
      </c>
    </row>
    <row r="33" ht="30" customFormat="1" customHeight="1" s="1">
      <c r="A33" s="32" t="inlineStr">
        <is>
          <t>Dawn Aerospace B20 推力器 16（P049）</t>
        </is>
      </c>
      <c r="B33" s="33" t="n">
        <v>0.01858</v>
      </c>
      <c r="C33" s="34" t="inlineStr">
        <is>
          <t>167.299x79.19x70.123</t>
        </is>
      </c>
      <c r="D33" s="33" t="n">
        <v>12</v>
      </c>
      <c r="E33" s="33" t="n"/>
      <c r="F33" s="34" t="inlineStr">
        <is>
          <t>-5 ~ 30℃</t>
        </is>
      </c>
      <c r="G33" s="34" t="inlineStr">
        <is>
          <t>立方星JSON</t>
        </is>
      </c>
    </row>
    <row r="34" ht="21" customFormat="1" customHeight="1" s="1">
      <c r="A34" s="30" t="inlineStr">
        <is>
          <t>电源分系统</t>
        </is>
      </c>
      <c r="B34" s="31">
        <f>SUM(B35:B36)</f>
        <v/>
      </c>
      <c r="C34" s="30" t="n"/>
      <c r="D34" s="31">
        <f>SUM(D35:D36)</f>
        <v/>
      </c>
      <c r="E34" s="31">
        <f>SUM(E35:E36)</f>
        <v/>
      </c>
      <c r="F34" s="30" t="n"/>
      <c r="G34" s="30" t="n"/>
    </row>
    <row r="35" ht="18.75" customFormat="1" customHeight="1" s="1">
      <c r="A35" s="32" t="inlineStr">
        <is>
          <t>电池组 1（Y+ 侧）（P003）</t>
        </is>
      </c>
      <c r="B35" s="33" t="n">
        <v>3.498326</v>
      </c>
      <c r="C35" s="34" t="inlineStr">
        <is>
          <t>152x305x686</t>
        </is>
      </c>
      <c r="D35" s="33" t="n">
        <v>5</v>
      </c>
      <c r="E35" s="33" t="n"/>
      <c r="F35" s="34" t="inlineStr">
        <is>
          <t>-40 ~ 60℃</t>
        </is>
      </c>
      <c r="G35" s="34" t="inlineStr">
        <is>
          <t>立方星JSON</t>
        </is>
      </c>
    </row>
    <row r="36" ht="18.75" customFormat="1" customHeight="1" s="1">
      <c r="A36" s="32" t="inlineStr">
        <is>
          <t>电池组 2（Y- 侧）（P004）</t>
        </is>
      </c>
      <c r="B36" s="33" t="n">
        <v>3.498326</v>
      </c>
      <c r="C36" s="34" t="inlineStr">
        <is>
          <t>152x305x686</t>
        </is>
      </c>
      <c r="D36" s="33" t="n">
        <v>5</v>
      </c>
      <c r="E36" s="33" t="n"/>
      <c r="F36" s="34" t="inlineStr">
        <is>
          <t>-40 ~ 60℃</t>
        </is>
      </c>
      <c r="G36" s="34" t="inlineStr">
        <is>
          <t>立方星JSON</t>
        </is>
      </c>
    </row>
    <row r="37" ht="21" customFormat="1" customHeight="1" s="1">
      <c r="A37" s="30" t="inlineStr">
        <is>
          <t>综合电子分系统</t>
        </is>
      </c>
      <c r="B37" s="31">
        <f>SUM(B38:B39)</f>
        <v/>
      </c>
      <c r="C37" s="30" t="n"/>
      <c r="D37" s="31">
        <f>SUM(D38:D39)</f>
        <v/>
      </c>
      <c r="E37" s="31">
        <f>SUM(E38:E39)</f>
        <v/>
      </c>
      <c r="F37" s="30" t="n"/>
      <c r="G37" s="30" t="n"/>
    </row>
    <row r="38" ht="18.75" customFormat="1" customHeight="1" s="1">
      <c r="A38" s="32" t="inlineStr">
        <is>
          <t>星务计算机预留空间 1（P009）</t>
        </is>
      </c>
      <c r="B38" s="33" t="n">
        <v>1.7</v>
      </c>
      <c r="C38" s="34" t="inlineStr">
        <is>
          <t>260x220x240</t>
        </is>
      </c>
      <c r="D38" s="33" t="n">
        <v>15</v>
      </c>
      <c r="E38" s="33" t="n"/>
      <c r="F38" s="34" t="inlineStr">
        <is>
          <t>-40 ~ 85℃</t>
        </is>
      </c>
      <c r="G38" s="34" t="inlineStr">
        <is>
          <t>立方星JSON</t>
        </is>
      </c>
    </row>
    <row r="39" ht="18.75" customFormat="1" customHeight="1" s="1">
      <c r="A39" s="32" t="inlineStr">
        <is>
          <t>星务计算机预留空间 2（P010）</t>
        </is>
      </c>
      <c r="B39" s="33" t="n">
        <v>1.7</v>
      </c>
      <c r="C39" s="34" t="inlineStr">
        <is>
          <t>260x220x240</t>
        </is>
      </c>
      <c r="D39" s="33" t="n">
        <v>15</v>
      </c>
      <c r="E39" s="33" t="n"/>
      <c r="F39" s="34" t="inlineStr">
        <is>
          <t>-40 ~ 85℃</t>
        </is>
      </c>
      <c r="G39" s="34" t="inlineStr">
        <is>
          <t>立方星JSON</t>
        </is>
      </c>
    </row>
    <row r="40" ht="21" customFormat="1" customHeight="1" s="1">
      <c r="A40" s="30" t="inlineStr">
        <is>
          <t>载荷分系统</t>
        </is>
      </c>
      <c r="B40" s="31">
        <f>SUM(B41:B56)</f>
        <v/>
      </c>
      <c r="C40" s="30" t="n"/>
      <c r="D40" s="31">
        <f>SUM(D41:D56)</f>
        <v/>
      </c>
      <c r="E40" s="31">
        <f>SUM(E41:E56)</f>
        <v/>
      </c>
      <c r="F40" s="30" t="n"/>
      <c r="G40" s="30" t="n"/>
    </row>
    <row r="41" ht="18.75" customFormat="1" customHeight="1" s="1">
      <c r="A41" s="32" t="inlineStr">
        <is>
          <t>360 度相机组件 1（P005）</t>
        </is>
      </c>
      <c r="B41" s="33" t="n">
        <v>0.321993</v>
      </c>
      <c r="C41" s="34" t="inlineStr">
        <is>
          <t>170.004x170.004x185.684</t>
        </is>
      </c>
      <c r="D41" s="33" t="n">
        <v>3</v>
      </c>
      <c r="E41" s="33" t="n"/>
      <c r="F41" s="34" t="inlineStr">
        <is>
          <t>-40 ~ 60℃</t>
        </is>
      </c>
      <c r="G41" s="34" t="inlineStr">
        <is>
          <t>立方星JSON</t>
        </is>
      </c>
    </row>
    <row r="42" ht="18.75" customFormat="1" customHeight="1" s="1">
      <c r="A42" s="32" t="inlineStr">
        <is>
          <t>360 度相机组件 4（P006）</t>
        </is>
      </c>
      <c r="B42" s="33" t="n">
        <v>0.321993</v>
      </c>
      <c r="C42" s="34" t="inlineStr">
        <is>
          <t>170.004x170.004x185.684</t>
        </is>
      </c>
      <c r="D42" s="33" t="n">
        <v>3</v>
      </c>
      <c r="E42" s="33" t="n"/>
      <c r="F42" s="34" t="inlineStr">
        <is>
          <t>-40 ~ 60℃</t>
        </is>
      </c>
      <c r="G42" s="34" t="inlineStr">
        <is>
          <t>立方星JSON</t>
        </is>
      </c>
    </row>
    <row r="43" ht="18.75" customFormat="1" customHeight="1" s="1">
      <c r="A43" s="32" t="inlineStr">
        <is>
          <t>360 度相机组件 3（P007）</t>
        </is>
      </c>
      <c r="B43" s="33" t="n">
        <v>0.321993</v>
      </c>
      <c r="C43" s="34" t="inlineStr">
        <is>
          <t>170.004x170.004x185.684</t>
        </is>
      </c>
      <c r="D43" s="33" t="n">
        <v>3</v>
      </c>
      <c r="E43" s="33" t="n"/>
      <c r="F43" s="34" t="inlineStr">
        <is>
          <t>-40 ~ 60℃</t>
        </is>
      </c>
      <c r="G43" s="34" t="inlineStr">
        <is>
          <t>立方星JSON</t>
        </is>
      </c>
    </row>
    <row r="44" ht="18.75" customFormat="1" customHeight="1" s="1">
      <c r="A44" s="32" t="inlineStr">
        <is>
          <t>360 度相机组件 2（P008）</t>
        </is>
      </c>
      <c r="B44" s="33" t="n">
        <v>0.321993</v>
      </c>
      <c r="C44" s="34" t="inlineStr">
        <is>
          <t>170.004x170.004x185.684</t>
        </is>
      </c>
      <c r="D44" s="33" t="n">
        <v>3</v>
      </c>
      <c r="E44" s="33" t="n"/>
      <c r="F44" s="34" t="inlineStr">
        <is>
          <t>-40 ~ 60℃</t>
        </is>
      </c>
      <c r="G44" s="34" t="inlineStr">
        <is>
          <t>立方星JSON</t>
        </is>
      </c>
    </row>
    <row r="45" ht="30" customFormat="1" customHeight="1" s="1">
      <c r="A45" s="32" t="inlineStr">
        <is>
          <t>CubeSat 载荷箱 1（Y- 侧）（P011）</t>
        </is>
      </c>
      <c r="B45" s="33" t="n">
        <v>0.293147</v>
      </c>
      <c r="C45" s="34" t="inlineStr">
        <is>
          <t>252x222x262</t>
        </is>
      </c>
      <c r="D45" s="33" t="n">
        <v>0</v>
      </c>
      <c r="E45" s="33" t="n"/>
      <c r="F45" s="34" t="inlineStr">
        <is>
          <t>-100 ~ 90℃</t>
        </is>
      </c>
      <c r="G45" s="34" t="inlineStr">
        <is>
          <t>立方星JSON</t>
        </is>
      </c>
    </row>
    <row r="46" ht="30" customHeight="1">
      <c r="A46" s="32" t="inlineStr">
        <is>
          <t>CubeSat 载荷箱 2（Y+ 侧）（P012）</t>
        </is>
      </c>
      <c r="B46" s="33" t="n">
        <v>0.293147</v>
      </c>
      <c r="C46" s="34" t="inlineStr">
        <is>
          <t>252x222x262</t>
        </is>
      </c>
      <c r="D46" s="33" t="n">
        <v>0</v>
      </c>
      <c r="E46" s="33" t="n"/>
      <c r="F46" s="34" t="inlineStr">
        <is>
          <t>-100 ~ 90℃</t>
        </is>
      </c>
      <c r="G46" s="34" t="inlineStr">
        <is>
          <t>立方星JSON</t>
        </is>
      </c>
    </row>
    <row r="47" ht="30" customFormat="1" customHeight="1" s="1">
      <c r="A47" s="32" t="inlineStr">
        <is>
          <t>Alba Orbital PocketQube 发射机构 1（P020）</t>
        </is>
      </c>
      <c r="B47" s="33" t="n">
        <v>0.0343</v>
      </c>
      <c r="C47" s="34" t="inlineStr">
        <is>
          <t>70x70x350</t>
        </is>
      </c>
      <c r="D47" s="33" t="n">
        <v>0.5</v>
      </c>
      <c r="E47" s="33" t="n"/>
      <c r="F47" s="34" t="inlineStr">
        <is>
          <t>-100 ~ 90℃</t>
        </is>
      </c>
      <c r="G47" s="34" t="inlineStr">
        <is>
          <t>立方星JSON</t>
        </is>
      </c>
    </row>
    <row r="48" ht="30" customFormat="1" customHeight="1" s="1">
      <c r="A48" s="32" t="inlineStr">
        <is>
          <t>Alba Orbital PocketQube 发射机构 2（P021）</t>
        </is>
      </c>
      <c r="B48" s="33" t="n">
        <v>0.0343</v>
      </c>
      <c r="C48" s="34" t="inlineStr">
        <is>
          <t>70x70x350</t>
        </is>
      </c>
      <c r="D48" s="33" t="n">
        <v>0.5</v>
      </c>
      <c r="E48" s="33" t="n"/>
      <c r="F48" s="34" t="inlineStr">
        <is>
          <t>-100 ~ 90℃</t>
        </is>
      </c>
      <c r="G48" s="34" t="inlineStr">
        <is>
          <t>立方星JSON</t>
        </is>
      </c>
    </row>
    <row r="49" ht="30" customHeight="1">
      <c r="A49" s="32" t="inlineStr">
        <is>
          <t>Alba Orbital PocketQube 发射机构 3（P022）</t>
        </is>
      </c>
      <c r="B49" s="33" t="n">
        <v>0.0343</v>
      </c>
      <c r="C49" s="34" t="inlineStr">
        <is>
          <t>70x70x350</t>
        </is>
      </c>
      <c r="D49" s="33" t="n">
        <v>0.5</v>
      </c>
      <c r="E49" s="33" t="n"/>
      <c r="F49" s="34" t="inlineStr">
        <is>
          <t>-100 ~ 90℃</t>
        </is>
      </c>
      <c r="G49" s="34" t="inlineStr">
        <is>
          <t>立方星JSON</t>
        </is>
      </c>
    </row>
    <row r="50" ht="30" customHeight="1">
      <c r="A50" s="32" t="inlineStr">
        <is>
          <t>Alba Orbital PocketQube 发射机构 4（P023）</t>
        </is>
      </c>
      <c r="B50" s="33" t="n">
        <v>0.0343</v>
      </c>
      <c r="C50" s="34" t="inlineStr">
        <is>
          <t>70x70x350</t>
        </is>
      </c>
      <c r="D50" s="33" t="n">
        <v>0.5</v>
      </c>
      <c r="E50" s="33" t="n"/>
      <c r="F50" s="34" t="inlineStr">
        <is>
          <t>-100 ~ 90℃</t>
        </is>
      </c>
      <c r="G50" s="34" t="inlineStr">
        <is>
          <t>立方星JSON</t>
        </is>
      </c>
    </row>
    <row r="51" ht="30" customHeight="1">
      <c r="A51" s="32" t="inlineStr">
        <is>
          <t>Alba Orbital PocketQube 发射机构 5（P024）</t>
        </is>
      </c>
      <c r="B51" s="33" t="n">
        <v>0.0343</v>
      </c>
      <c r="C51" s="34" t="inlineStr">
        <is>
          <t>70x70x350</t>
        </is>
      </c>
      <c r="D51" s="33" t="n">
        <v>0.5</v>
      </c>
      <c r="E51" s="33" t="n"/>
      <c r="F51" s="34" t="inlineStr">
        <is>
          <t>-100 ~ 90℃</t>
        </is>
      </c>
      <c r="G51" s="34" t="inlineStr">
        <is>
          <t>立方星JSON</t>
        </is>
      </c>
    </row>
    <row r="52" ht="30" customHeight="1">
      <c r="A52" s="32" t="inlineStr">
        <is>
          <t>Alba Orbital PocketQube 发射机构 6（P025）</t>
        </is>
      </c>
      <c r="B52" s="33" t="n">
        <v>0.0343</v>
      </c>
      <c r="C52" s="34" t="inlineStr">
        <is>
          <t>70x70x350</t>
        </is>
      </c>
      <c r="D52" s="33" t="n">
        <v>0.5</v>
      </c>
      <c r="E52" s="33" t="n"/>
      <c r="F52" s="34" t="inlineStr">
        <is>
          <t>-100 ~ 90℃</t>
        </is>
      </c>
      <c r="G52" s="34" t="inlineStr">
        <is>
          <t>立方星JSON</t>
        </is>
      </c>
    </row>
    <row r="53" ht="30" customHeight="1">
      <c r="A53" s="32" t="inlineStr">
        <is>
          <t>Alba Orbital PocketQube 发射机构 7（P026）</t>
        </is>
      </c>
      <c r="B53" s="33" t="n">
        <v>0.0343</v>
      </c>
      <c r="C53" s="34" t="inlineStr">
        <is>
          <t>70x70x350</t>
        </is>
      </c>
      <c r="D53" s="33" t="n">
        <v>0.5</v>
      </c>
      <c r="E53" s="33" t="n"/>
      <c r="F53" s="34" t="inlineStr">
        <is>
          <t>-100 ~ 90℃</t>
        </is>
      </c>
      <c r="G53" s="34" t="inlineStr">
        <is>
          <t>立方星JSON</t>
        </is>
      </c>
    </row>
    <row r="54" ht="30" customHeight="1">
      <c r="A54" s="32" t="inlineStr">
        <is>
          <t>Alba Orbital PocketQube 发射机构 8（P027）</t>
        </is>
      </c>
      <c r="B54" s="33" t="n">
        <v>0.0343</v>
      </c>
      <c r="C54" s="34" t="inlineStr">
        <is>
          <t>70x70x350</t>
        </is>
      </c>
      <c r="D54" s="33" t="n">
        <v>0.5</v>
      </c>
      <c r="E54" s="33" t="n"/>
      <c r="F54" s="34" t="inlineStr">
        <is>
          <t>-100 ~ 90℃</t>
        </is>
      </c>
      <c r="G54" s="34" t="inlineStr">
        <is>
          <t>立方星JSON</t>
        </is>
      </c>
    </row>
    <row r="55" ht="30" customHeight="1">
      <c r="A55" s="32" t="inlineStr">
        <is>
          <t>Alba Orbital PocketQube 发射机构 9（P028）</t>
        </is>
      </c>
      <c r="B55" s="33" t="n">
        <v>0.0343</v>
      </c>
      <c r="C55" s="34" t="inlineStr">
        <is>
          <t>70x70x350</t>
        </is>
      </c>
      <c r="D55" s="33" t="n">
        <v>0.5</v>
      </c>
      <c r="E55" s="33" t="n"/>
      <c r="F55" s="34" t="inlineStr">
        <is>
          <t>-100 ~ 90℃</t>
        </is>
      </c>
      <c r="G55" s="34" t="inlineStr">
        <is>
          <t>立方星JSON</t>
        </is>
      </c>
    </row>
    <row r="56" ht="30" customHeight="1">
      <c r="A56" s="32" t="inlineStr">
        <is>
          <t>Alba Orbital PocketQube 发射机构 10（P029）</t>
        </is>
      </c>
      <c r="B56" s="33" t="n">
        <v>0.0343</v>
      </c>
      <c r="C56" s="34" t="inlineStr">
        <is>
          <t>70x70x350</t>
        </is>
      </c>
      <c r="D56" s="33" t="n">
        <v>0.5</v>
      </c>
      <c r="E56" s="33" t="n"/>
      <c r="F56" s="34" t="inlineStr">
        <is>
          <t>-100 ~ 90℃</t>
        </is>
      </c>
      <c r="G56" s="34" t="inlineStr">
        <is>
          <t>立方星JSON</t>
        </is>
      </c>
    </row>
    <row r="57" ht="18.75" customHeight="1"/>
    <row r="58" ht="18.75" customHeight="1"/>
    <row r="59" ht="18.75" customHeight="1"/>
    <row r="60" ht="18.75" customHeight="1"/>
    <row r="61" ht="18.75" customHeight="1"/>
    <row r="62" ht="18.75" customHeight="1"/>
    <row r="63" ht="18.75" customHeight="1"/>
    <row r="64" ht="18.75" customHeight="1"/>
    <row r="65" ht="18.75" customHeight="1"/>
  </sheetData>
  <autoFilter ref="A1:G1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B20"/>
  <sheetViews>
    <sheetView workbookViewId="0">
      <selection activeCell="A1" sqref="A1"/>
    </sheetView>
  </sheetViews>
  <sheetFormatPr baseColWidth="8" defaultRowHeight="15"/>
  <cols>
    <col width="24" bestFit="1" customWidth="1" style="8" min="1" max="1"/>
    <col width="110" bestFit="1" customWidth="1" style="9" min="2" max="2"/>
  </cols>
  <sheetData>
    <row r="1" ht="18.75" customFormat="1" customHeight="1" s="1">
      <c r="A1" s="37" t="inlineStr">
        <is>
          <t>来源 JSON</t>
        </is>
      </c>
      <c r="B1" s="37" t="inlineStr">
        <is>
          <t>/data/zxk/open_codex_web_dev_v2/data/input_data/thermal/00_inputs/cad_build_spec.json</t>
        </is>
      </c>
    </row>
    <row r="2" ht="18.75" customFormat="1" customHeight="1" s="1">
      <c r="A2" s="37" t="inlineStr">
        <is>
          <t>原始 CATCH 配套表备份</t>
        </is>
      </c>
      <c r="B2" s="37" t="inlineStr">
        <is>
          <t>/data/zxk/open_codex_web_dev_v2/data/input_data/thermal/00_inputs/CATCH整星配套表.CATCH原版备份.xlsx</t>
        </is>
      </c>
    </row>
    <row r="3" ht="18.75" customFormat="1" customHeight="1" s="1">
      <c r="A3" s="37" t="inlineStr">
        <is>
          <t>生成文件</t>
        </is>
      </c>
      <c r="B3" s="37" t="inlineStr">
        <is>
          <t>/data/zxk/open_codex_web_dev_v2/data/input_data/thermal/00_inputs/CATCH整星配套表.xlsx</t>
        </is>
      </c>
    </row>
    <row r="4" ht="18.75" customFormat="1" customHeight="1" s="1">
      <c r="A4" s="37" t="inlineStr">
        <is>
          <t>适配对象</t>
        </is>
      </c>
      <c r="B4" s="37" t="inlineStr">
        <is>
          <t>立方星 cad_build_spec.json</t>
        </is>
      </c>
    </row>
    <row r="5" ht="18.75" customFormat="1" customHeight="1" s="1">
      <c r="A5" s="37" t="inlineStr">
        <is>
          <t>schema_version</t>
        </is>
      </c>
      <c r="B5" s="37" t="inlineStr">
        <is>
          <t>cad_build_spec/1.0</t>
        </is>
      </c>
    </row>
    <row r="6" ht="18.75" customFormat="1" customHeight="1" s="1">
      <c r="A6" s="37" t="inlineStr">
        <is>
          <t>document.name</t>
        </is>
      </c>
      <c r="B6" s="37" t="inlineStr">
        <is>
          <t>template_airbus_no_structure_no_replace</t>
        </is>
      </c>
    </row>
    <row r="7" ht="18.75" customFormat="1" customHeight="1" s="1">
      <c r="A7" s="37" t="inlineStr">
        <is>
          <t>外包络尺寸 mm</t>
        </is>
      </c>
      <c r="B7" s="37" t="inlineStr">
        <is>
          <t>1210.223x1210.223x917.571</t>
        </is>
      </c>
    </row>
    <row r="8" ht="18.75" customFormat="1" customHeight="1" s="1">
      <c r="A8" s="37" t="inlineStr">
        <is>
          <t>组件总数</t>
        </is>
      </c>
      <c r="B8" s="37" t="n">
        <v>49</v>
      </c>
    </row>
    <row r="9" ht="18.75" customFormat="1" customHeight="1" s="1">
      <c r="A9" s="37" t="inlineStr">
        <is>
          <t>分系统数</t>
        </is>
      </c>
      <c r="B9" s="37" t="n">
        <v>6</v>
      </c>
    </row>
    <row r="10" ht="18.75" customFormat="1" customHeight="1" s="1">
      <c r="A10" s="37" t="inlineStr">
        <is>
          <t>质量来源</t>
        </is>
      </c>
      <c r="B10" s="37" t="inlineStr">
        <is>
          <t>components[].thermal.mass_kg</t>
        </is>
      </c>
    </row>
    <row r="11" ht="18.75" customFormat="1" customHeight="1" s="1">
      <c r="A11" s="37" t="inlineStr">
        <is>
          <t>包络尺寸来源</t>
        </is>
      </c>
      <c r="B11" s="37" t="inlineStr">
        <is>
          <t>components[].dims，单位 mm</t>
        </is>
      </c>
    </row>
    <row r="12" ht="18.75" customFormat="1" customHeight="1" s="1">
      <c r="A12" s="37" t="inlineStr">
        <is>
          <t>稳态功耗来源</t>
        </is>
      </c>
      <c r="B12" s="37" t="inlineStr">
        <is>
          <t>components[].thermal.power_W</t>
        </is>
      </c>
    </row>
    <row r="13" ht="18.75" customHeight="1">
      <c r="A13" s="37" t="inlineStr">
        <is>
          <t>峰值功耗</t>
        </is>
      </c>
      <c r="B13" s="37" t="inlineStr">
        <is>
          <t>JSON 未提供峰值功耗，保留为空，由公式汇总为空/0</t>
        </is>
      </c>
    </row>
    <row r="14" ht="18.75" customHeight="1">
      <c r="A14" s="37" t="inlineStr">
        <is>
          <t>配套单位</t>
        </is>
      </c>
      <c r="B14" s="37" t="inlineStr">
        <is>
          <t>原 CATCH 默认值已替换为 立方星JSON</t>
        </is>
      </c>
    </row>
    <row r="15">
      <c r="A15" s="37" t="inlineStr">
        <is>
          <t>说明</t>
        </is>
      </c>
      <c r="B15" s="37" t="inlineStr">
        <is>
          <t>主表每个组件名称单元格包含 JSON id、geometry_id、thermal_id、category、仿真开关和 STEP 路径注释</t>
        </is>
      </c>
    </row>
    <row r="17">
      <c r="A17" t="inlineStr">
        <is>
          <t>整星配套表修正</t>
        </is>
      </c>
      <c r="B17" t="inlineStr">
        <is>
          <t>删除整星汇总行；稳态功耗来自 cad_build_spec.json thermal.power_W；工作温度来自热仿真数据库.xlsx exact/refined 或同类温度兜底。</t>
        </is>
      </c>
    </row>
    <row r="18">
      <c r="A18" t="inlineStr">
        <is>
          <t>已填温度行数</t>
        </is>
      </c>
      <c r="B18" t="n">
        <v>49</v>
      </c>
    </row>
    <row r="19">
      <c r="A19" t="inlineStr">
        <is>
          <t>未填温度行数</t>
        </is>
      </c>
      <c r="B19" t="n">
        <v>0</v>
      </c>
    </row>
    <row r="20">
      <c r="A20" t="inlineStr">
        <is>
          <t>温度兜底来源</t>
        </is>
      </c>
      <c r="B20" t="inlineStr">
        <is>
          <t>dawnaerospace_b20_thruster_v2: Dawn B1; fuel_tank_cold_gas_v3: Steam TunaCan Thruster; reaction_wheel_v7: ADCS-RW400-CUBESAT-REACTION-WHEELS; battery_pack: EXA BA0x BAD1/D; 360_degree_camera: PL-90MM-CAMERA; allocated_space_for_computer_systems: DARA OBC; cubesat_payload_box: HTC01; drive_train: HTC01; alba_orbital_pocketqube_launch_mechanism_v3: HTC01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2026-06-16T08:20:55Z</dcterms:created>
  <dcterms:modified xsi:type="dcterms:W3CDTF">2026-06-24T07:10:22Z</dcterms:modified>
</cp:coreProperties>
</file>