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ATCH整星配套表" sheetId="1" state="visible" r:id="rId1"/>
    <sheet name="生成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00000"/>
    <numFmt numFmtId="166" formatCode="0.######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宋体"/>
      <family val="2"/>
      <color rgb="FF000000"/>
      <sz val="11"/>
    </font>
    <font>
      <name val="Times New Roman"/>
      <family val="2"/>
      <color rgb="FF000000"/>
      <sz val="11"/>
    </font>
    <font>
      <b val="1"/>
      <color rgb="001F2937"/>
    </font>
    <font>
      <color rgb="001F2937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00FFFFFF"/>
      </patternFill>
    </fill>
    <fill>
      <patternFill patternType="solid">
        <fgColor rgb="00EAF4FF"/>
      </patternFill>
    </fill>
    <fill>
      <patternFill patternType="solid">
        <fgColor rgb="00F5F7FA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000000"/>
      </top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medium">
        <color rgb="00808080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wrapText="1"/>
    </xf>
    <xf numFmtId="3" fontId="2" fillId="0" borderId="1" applyAlignment="1" pivotButton="0" quotePrefix="0" xfId="0">
      <alignment horizontal="left" wrapText="1"/>
    </xf>
    <xf numFmtId="3" fontId="2" fillId="0" borderId="1" applyAlignment="1" pivotButton="0" quotePrefix="0" xfId="0">
      <alignment horizontal="right" wrapText="1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1" fillId="2" borderId="2" applyAlignment="1" pivotButton="0" quotePrefix="0" xfId="0">
      <alignment horizontal="center" wrapText="1"/>
    </xf>
    <xf numFmtId="164" fontId="1" fillId="2" borderId="2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1" fillId="3" borderId="3" applyAlignment="1" pivotButton="0" quotePrefix="0" xfId="0">
      <alignment horizontal="center" wrapText="1"/>
    </xf>
    <xf numFmtId="164" fontId="1" fillId="3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164" fontId="4" fillId="2" borderId="4" applyAlignment="1" pivotButton="0" quotePrefix="0" xfId="0">
      <alignment horizontal="center" wrapText="1"/>
    </xf>
    <xf numFmtId="0" fontId="4" fillId="2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 wrapText="1"/>
    </xf>
    <xf numFmtId="0" fontId="1" fillId="0" borderId="5" applyAlignment="1" pivotButton="0" quotePrefix="0" xfId="0">
      <alignment horizontal="center" wrapText="1"/>
    </xf>
    <xf numFmtId="164" fontId="1" fillId="0" borderId="5" applyAlignment="1" pivotButton="0" quotePrefix="0" xfId="0">
      <alignment horizontal="center" wrapText="1"/>
    </xf>
    <xf numFmtId="164" fontId="2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164" fontId="0" fillId="0" borderId="0" applyAlignment="1" pivotButton="0" quotePrefix="0" xfId="0">
      <alignment horizontal="general"/>
    </xf>
    <xf numFmtId="0" fontId="5" fillId="4" borderId="6" applyAlignment="1" pivotButton="0" quotePrefix="0" xfId="0">
      <alignment horizontal="center" vertical="center"/>
    </xf>
    <xf numFmtId="0" fontId="5" fillId="5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165" fontId="6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166" fontId="6" fillId="0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left" vertical="center" wrapText="1"/>
    </xf>
    <xf numFmtId="0" fontId="5" fillId="6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40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005" bestFit="1" customWidth="1" style="27" min="1" max="1"/>
    <col width="14.005" bestFit="1" customWidth="1" style="28" min="2" max="2"/>
    <col width="22.005" bestFit="1" customWidth="1" style="27" min="3" max="3"/>
    <col width="22.005" bestFit="1" customWidth="1" style="28" min="4" max="4"/>
    <col width="14.005" bestFit="1" customWidth="1" style="8" min="5" max="5"/>
    <col width="18.005" bestFit="1" customWidth="1" style="27" min="6" max="6"/>
    <col width="14.005" bestFit="1" customWidth="1" style="27" min="7" max="7"/>
    <col hidden="1" width="13.57642857142857" bestFit="1" customWidth="1" style="8" min="8" max="8"/>
    <col hidden="1" width="13.57642857142857" bestFit="1" customWidth="1" style="8" min="9" max="9"/>
    <col hidden="1" width="13.57642857142857" bestFit="1" customWidth="1" style="8" min="10" max="10"/>
  </cols>
  <sheetData>
    <row r="1" ht="28" customFormat="1" customHeight="1" s="1">
      <c r="A1" s="29" t="inlineStr">
        <is>
          <t>产品名称</t>
        </is>
      </c>
      <c r="B1" s="29" t="inlineStr">
        <is>
          <t>重量（Kg）</t>
        </is>
      </c>
      <c r="C1" s="29" t="inlineStr">
        <is>
          <t>包络尺寸（mm）</t>
        </is>
      </c>
      <c r="D1" s="29" t="inlineStr">
        <is>
          <t>稳态功耗（W）</t>
        </is>
      </c>
      <c r="E1" s="29" t="inlineStr">
        <is>
          <t>峰值功耗（W）</t>
        </is>
      </c>
      <c r="F1" s="29" t="inlineStr">
        <is>
          <t>工作温度（℃）</t>
        </is>
      </c>
      <c r="G1" s="29" t="inlineStr">
        <is>
          <t>配套单位</t>
        </is>
      </c>
    </row>
    <row r="2" ht="21" customFormat="1" customHeight="1" s="1">
      <c r="A2" s="30" t="inlineStr">
        <is>
          <t>结构与机构分系统</t>
        </is>
      </c>
      <c r="B2" s="31">
        <f>SUM(B3:B6)</f>
        <v/>
      </c>
      <c r="C2" s="31" t="n"/>
      <c r="D2" s="31">
        <f>SUM(D3:D6)</f>
        <v/>
      </c>
      <c r="E2" s="31">
        <f>SUM(E3:E6)</f>
        <v/>
      </c>
      <c r="F2" s="31" t="n"/>
      <c r="G2" s="31" t="n"/>
    </row>
    <row r="3" ht="18.75" customFormat="1" customHeight="1" s="1">
      <c r="A3" s="32" t="inlineStr">
        <is>
          <t>星箭分离机构 WF50</t>
        </is>
      </c>
      <c r="B3" s="33" t="n">
        <v>1.370495</v>
      </c>
      <c r="C3" s="34" t="inlineStr">
        <is>
          <t>312.264x312.264x65.07</t>
        </is>
      </c>
      <c r="D3" s="35" t="n">
        <v>0</v>
      </c>
      <c r="E3" s="35" t="n"/>
      <c r="F3" s="34" t="inlineStr">
        <is>
          <t>-100 ~ 90℃</t>
        </is>
      </c>
      <c r="G3" s="34" t="inlineStr">
        <is>
          <t>CATCH</t>
        </is>
      </c>
    </row>
    <row r="4" ht="18.75" customFormat="1" customHeight="1" s="1">
      <c r="A4" s="32" t="inlineStr">
        <is>
          <t>行程开关 1</t>
        </is>
      </c>
      <c r="B4" s="33" t="n">
        <v>0.05</v>
      </c>
      <c r="C4" s="34" t="inlineStr">
        <is>
          <t>35x17x57.5</t>
        </is>
      </c>
      <c r="D4" s="35" t="n">
        <v>0</v>
      </c>
      <c r="E4" s="35" t="n"/>
      <c r="F4" s="34" t="inlineStr">
        <is>
          <t>-100 ~ 90℃</t>
        </is>
      </c>
      <c r="G4" s="34" t="inlineStr">
        <is>
          <t>CATCH</t>
        </is>
      </c>
    </row>
    <row r="5" ht="18.75" customFormat="1" customHeight="1" s="1">
      <c r="A5" s="32" t="inlineStr">
        <is>
          <t>行程开关 2</t>
        </is>
      </c>
      <c r="B5" s="33" t="n">
        <v>0.05</v>
      </c>
      <c r="C5" s="34" t="inlineStr">
        <is>
          <t>35x17x57.5</t>
        </is>
      </c>
      <c r="D5" s="35" t="n">
        <v>0</v>
      </c>
      <c r="E5" s="35" t="n"/>
      <c r="F5" s="34" t="inlineStr">
        <is>
          <t>-100 ~ 90℃</t>
        </is>
      </c>
      <c r="G5" s="34" t="inlineStr">
        <is>
          <t>CATCH</t>
        </is>
      </c>
    </row>
    <row r="6" ht="30" customFormat="1" customHeight="1" s="1">
      <c r="A6" s="32" t="inlineStr">
        <is>
          <t>载荷伸展/展开机构</t>
        </is>
      </c>
      <c r="B6" s="33" t="n">
        <v>3.354686</v>
      </c>
      <c r="C6" s="34" t="inlineStr">
        <is>
          <t>127.589x450.689x270.089</t>
        </is>
      </c>
      <c r="D6" s="35" t="n">
        <v>0</v>
      </c>
      <c r="E6" s="35" t="n"/>
      <c r="F6" s="34" t="inlineStr">
        <is>
          <t>-100 ~ 90℃</t>
        </is>
      </c>
      <c r="G6" s="34" t="inlineStr">
        <is>
          <t>CATCH</t>
        </is>
      </c>
    </row>
    <row r="7" ht="21" customFormat="1" customHeight="1" s="1">
      <c r="A7" s="30" t="inlineStr">
        <is>
          <t>姿轨控分系统</t>
        </is>
      </c>
      <c r="B7" s="31">
        <f>SUM(B8:B20)</f>
        <v/>
      </c>
      <c r="C7" s="31" t="n"/>
      <c r="D7" s="31">
        <f>SUM(D8:D20)</f>
        <v/>
      </c>
      <c r="E7" s="31">
        <f>SUM(E8:E20)</f>
        <v/>
      </c>
      <c r="F7" s="31" t="n"/>
      <c r="G7" s="31" t="n"/>
    </row>
    <row r="8" ht="18.75" customFormat="1" customHeight="1" s="1">
      <c r="A8" s="32" t="inlineStr">
        <is>
          <t>反作用轮候选 DIBAN-1</t>
        </is>
      </c>
      <c r="B8" s="33" t="n">
        <v>0.113434</v>
      </c>
      <c r="C8" s="34" t="inlineStr">
        <is>
          <t>88.522x87.243x68</t>
        </is>
      </c>
      <c r="D8" s="35" t="n">
        <v>3</v>
      </c>
      <c r="E8" s="35" t="n"/>
      <c r="F8" s="34" t="inlineStr">
        <is>
          <t>-20 ~ 60℃</t>
        </is>
      </c>
      <c r="G8" s="34" t="inlineStr">
        <is>
          <t>CATCH</t>
        </is>
      </c>
    </row>
    <row r="9" ht="30" customFormat="1" customHeight="1" s="1">
      <c r="A9" s="32" t="inlineStr">
        <is>
          <t>反作用轮候选 DIBAN-2（含斜装支架）</t>
        </is>
      </c>
      <c r="B9" s="33" t="n">
        <v>0.396942</v>
      </c>
      <c r="C9" s="34" t="inlineStr">
        <is>
          <t>125.588x126.623x115.562</t>
        </is>
      </c>
      <c r="D9" s="35" t="n">
        <v>0</v>
      </c>
      <c r="E9" s="35" t="n"/>
      <c r="F9" s="34" t="inlineStr">
        <is>
          <t>-20 ~ 60℃</t>
        </is>
      </c>
      <c r="G9" s="34" t="inlineStr">
        <is>
          <t>CATCH</t>
        </is>
      </c>
    </row>
    <row r="10" ht="18.75" customFormat="1" customHeight="1" s="1">
      <c r="A10" s="32" t="inlineStr">
        <is>
          <t>磁强计</t>
        </is>
      </c>
      <c r="B10" s="33" t="n">
        <v>0.05</v>
      </c>
      <c r="C10" s="34" t="inlineStr">
        <is>
          <t>78.416x64.916x23.016</t>
        </is>
      </c>
      <c r="D10" s="35" t="n">
        <v>0</v>
      </c>
      <c r="E10" s="35" t="n"/>
      <c r="F10" s="34" t="inlineStr">
        <is>
          <t>-30 ~ 75℃</t>
        </is>
      </c>
      <c r="G10" s="34" t="inlineStr">
        <is>
          <t>CATCH</t>
        </is>
      </c>
    </row>
    <row r="11" ht="18.75" customFormat="1" customHeight="1" s="1">
      <c r="A11" s="32" t="inlineStr">
        <is>
          <t>星敏感器 A</t>
        </is>
      </c>
      <c r="B11" s="33" t="n">
        <v>0.292465</v>
      </c>
      <c r="C11" s="34" t="inlineStr">
        <is>
          <t>150.18x94.012x95.901</t>
        </is>
      </c>
      <c r="D11" s="35" t="n">
        <v>0</v>
      </c>
      <c r="E11" s="35" t="n"/>
      <c r="F11" s="34" t="inlineStr">
        <is>
          <t>-20 ~ 50℃</t>
        </is>
      </c>
      <c r="G11" s="34" t="inlineStr">
        <is>
          <t>CATCH</t>
        </is>
      </c>
    </row>
    <row r="12" ht="18.75" customFormat="1" customHeight="1" s="1">
      <c r="A12" s="32" t="inlineStr">
        <is>
          <t>星敏感器 B</t>
        </is>
      </c>
      <c r="B12" s="33" t="n">
        <v>0.293779</v>
      </c>
      <c r="C12" s="34" t="inlineStr">
        <is>
          <t>202.102x86.006x78.247</t>
        </is>
      </c>
      <c r="D12" s="35" t="n">
        <v>0</v>
      </c>
      <c r="E12" s="35" t="n"/>
      <c r="F12" s="34" t="inlineStr">
        <is>
          <t>-20 ~ 50℃</t>
        </is>
      </c>
      <c r="G12" s="34" t="inlineStr">
        <is>
          <t>CATCH</t>
        </is>
      </c>
    </row>
    <row r="13" ht="18.75" customFormat="1" customHeight="1" s="1">
      <c r="A13" s="32" t="inlineStr">
        <is>
          <t>光纤陀螺 YH50（含热控垫片）</t>
        </is>
      </c>
      <c r="B13" s="33" t="n">
        <v>0.05</v>
      </c>
      <c r="C13" s="34" t="inlineStr">
        <is>
          <t>50.522x89.222x50.022</t>
        </is>
      </c>
      <c r="D13" s="35" t="n">
        <v>0</v>
      </c>
      <c r="E13" s="35" t="n"/>
      <c r="F13" s="34" t="inlineStr">
        <is>
          <t>-40 ~ 85℃</t>
        </is>
      </c>
      <c r="G13" s="34" t="inlineStr">
        <is>
          <t>CATCH</t>
        </is>
      </c>
    </row>
    <row r="14" ht="18.75" customFormat="1" customHeight="1" s="1">
      <c r="A14" s="32" t="inlineStr">
        <is>
          <t>MEMS 陀螺 100（含热控垫片）</t>
        </is>
      </c>
      <c r="B14" s="33" t="n">
        <v>0.05</v>
      </c>
      <c r="C14" s="34" t="inlineStr">
        <is>
          <t>73.6x21.5x44.8</t>
        </is>
      </c>
      <c r="D14" s="35" t="n">
        <v>0</v>
      </c>
      <c r="E14" s="35" t="n"/>
      <c r="F14" s="34" t="inlineStr">
        <is>
          <t>-40 ~ 85℃</t>
        </is>
      </c>
      <c r="G14" s="34" t="inlineStr">
        <is>
          <t>CATCH</t>
        </is>
      </c>
    </row>
    <row r="15" ht="18.75" customFormat="1" customHeight="1" s="1">
      <c r="A15" s="32" t="inlineStr">
        <is>
          <t>星敏/小光学组件候选</t>
        </is>
      </c>
      <c r="B15" s="33" t="n">
        <v>0.236935</v>
      </c>
      <c r="C15" s="34" t="inlineStr">
        <is>
          <t>159.484x73.534x93.534</t>
        </is>
      </c>
      <c r="D15" s="35" t="n">
        <v>0</v>
      </c>
      <c r="E15" s="35" t="n"/>
      <c r="F15" s="34" t="inlineStr">
        <is>
          <t>-20 ~ 50℃</t>
        </is>
      </c>
      <c r="G15" s="34" t="inlineStr">
        <is>
          <t>CATCH</t>
        </is>
      </c>
    </row>
    <row r="16" ht="18.75" customFormat="1" customHeight="1" s="1">
      <c r="A16" s="32" t="inlineStr">
        <is>
          <t>反作用轮候选 FXFY</t>
        </is>
      </c>
      <c r="B16" s="33" t="n">
        <v>0.113434</v>
      </c>
      <c r="C16" s="34" t="inlineStr">
        <is>
          <t>68x88.522x87.243</t>
        </is>
      </c>
      <c r="D16" s="35" t="n">
        <v>3</v>
      </c>
      <c r="E16" s="35" t="n"/>
      <c r="F16" s="34" t="inlineStr">
        <is>
          <t>-20 ~ 60℃</t>
        </is>
      </c>
      <c r="G16" s="34" t="inlineStr">
        <is>
          <t>CATCH</t>
        </is>
      </c>
    </row>
    <row r="17" ht="18.75" customFormat="1" customHeight="1" s="1">
      <c r="A17" s="32" t="inlineStr">
        <is>
          <t>磁力矩器/磁棒 ZY</t>
        </is>
      </c>
      <c r="B17" s="33" t="n">
        <v>0.05</v>
      </c>
      <c r="C17" s="34" t="inlineStr">
        <is>
          <t>26x13.8x160</t>
        </is>
      </c>
      <c r="D17" s="35" t="n">
        <v>0</v>
      </c>
      <c r="E17" s="35" t="n"/>
      <c r="F17" s="34" t="inlineStr">
        <is>
          <t>-55 ~ 85℃</t>
        </is>
      </c>
      <c r="G17" s="34" t="inlineStr">
        <is>
          <t>CATCH</t>
        </is>
      </c>
    </row>
    <row r="18" ht="18.75" customFormat="1" customHeight="1" s="1">
      <c r="A18" s="32" t="inlineStr">
        <is>
          <t>反作用轮候选 FY</t>
        </is>
      </c>
      <c r="B18" s="33" t="n">
        <v>0.113434</v>
      </c>
      <c r="C18" s="34" t="inlineStr">
        <is>
          <t>88.522x68x87.243</t>
        </is>
      </c>
      <c r="D18" s="35" t="n">
        <v>3</v>
      </c>
      <c r="E18" s="35" t="n"/>
      <c r="F18" s="34" t="inlineStr">
        <is>
          <t>-20 ~ 60℃</t>
        </is>
      </c>
      <c r="G18" s="34" t="inlineStr">
        <is>
          <t>CATCH</t>
        </is>
      </c>
    </row>
    <row r="19" ht="18.75" customFormat="1" customHeight="1" s="1">
      <c r="A19" s="32" t="inlineStr">
        <is>
          <t>磁力矩器/磁棒 顶板 1</t>
        </is>
      </c>
      <c r="B19" s="33" t="n">
        <v>0.05</v>
      </c>
      <c r="C19" s="34" t="inlineStr">
        <is>
          <t>26x160x13.8</t>
        </is>
      </c>
      <c r="D19" s="35" t="n">
        <v>0</v>
      </c>
      <c r="E19" s="35" t="n"/>
      <c r="F19" s="34" t="inlineStr">
        <is>
          <t>-55 ~ 85℃</t>
        </is>
      </c>
      <c r="G19" s="34" t="inlineStr">
        <is>
          <t>CATCH</t>
        </is>
      </c>
    </row>
    <row r="20" ht="18.75" customFormat="1" customHeight="1" s="1">
      <c r="A20" s="32" t="inlineStr">
        <is>
          <t>磁力矩器/磁棒 顶板 2</t>
        </is>
      </c>
      <c r="B20" s="33" t="n">
        <v>0.05</v>
      </c>
      <c r="C20" s="34" t="inlineStr">
        <is>
          <t>160x26x13.8</t>
        </is>
      </c>
      <c r="D20" s="35" t="n">
        <v>0</v>
      </c>
      <c r="E20" s="35" t="n"/>
      <c r="F20" s="34" t="inlineStr">
        <is>
          <t>-55 ~ 85℃</t>
        </is>
      </c>
      <c r="G20" s="34" t="inlineStr">
        <is>
          <t>CATCH</t>
        </is>
      </c>
    </row>
    <row r="21" ht="18.75" customFormat="1" customHeight="1" s="1">
      <c r="A21" s="30" t="inlineStr">
        <is>
          <t>推进分系统</t>
        </is>
      </c>
      <c r="B21" s="31">
        <f>SUM(B22:B22)</f>
        <v/>
      </c>
      <c r="C21" s="31" t="n"/>
      <c r="D21" s="31">
        <f>SUM(D22:D22)</f>
        <v/>
      </c>
      <c r="E21" s="31">
        <f>SUM(E22:E22)</f>
        <v/>
      </c>
      <c r="F21" s="31" t="n"/>
      <c r="G21" s="31" t="n"/>
    </row>
    <row r="22" ht="18.75" customHeight="1">
      <c r="A22" s="32" t="inlineStr">
        <is>
          <t>电推进/微推力器候选（含安装板）</t>
        </is>
      </c>
      <c r="B22" s="33" t="n">
        <v>0.387591</v>
      </c>
      <c r="C22" s="34" t="inlineStr">
        <is>
          <t>140.004x144.001x89.004</t>
        </is>
      </c>
      <c r="D22" s="35" t="n">
        <v>0</v>
      </c>
      <c r="E22" s="35" t="n"/>
      <c r="F22" s="34" t="inlineStr">
        <is>
          <t>-30 ~ 60℃</t>
        </is>
      </c>
      <c r="G22" s="34" t="inlineStr">
        <is>
          <t>CATCH</t>
        </is>
      </c>
    </row>
    <row r="23" ht="18.75" customFormat="1" customHeight="1" s="1">
      <c r="A23" s="30" t="inlineStr">
        <is>
          <t>电源与总体电路分系统</t>
        </is>
      </c>
      <c r="B23" s="31">
        <f>SUM(B24:B25)</f>
        <v/>
      </c>
      <c r="C23" s="31" t="n"/>
      <c r="D23" s="31">
        <f>SUM(D24:D25)</f>
        <v/>
      </c>
      <c r="E23" s="31">
        <f>SUM(E24:E25)</f>
        <v/>
      </c>
      <c r="F23" s="31" t="n"/>
      <c r="G23" s="31" t="n"/>
    </row>
    <row r="24" ht="18.75" customFormat="1" customHeight="1" s="1">
      <c r="A24" s="32" t="inlineStr">
        <is>
          <t>电池组或电源类盒体候选</t>
        </is>
      </c>
      <c r="B24" s="33" t="n">
        <v>0.237027</v>
      </c>
      <c r="C24" s="34" t="inlineStr">
        <is>
          <t>215.162x100.001x51.001</t>
        </is>
      </c>
      <c r="D24" s="35" t="n">
        <v>0</v>
      </c>
      <c r="E24" s="35" t="n"/>
      <c r="F24" s="34" t="inlineStr">
        <is>
          <t>-40 ~ 60℃</t>
        </is>
      </c>
      <c r="G24" s="34" t="inlineStr">
        <is>
          <t>CATCH</t>
        </is>
      </c>
    </row>
    <row r="25" ht="21" customHeight="1">
      <c r="A25" s="32" t="inlineStr">
        <is>
          <t>太阳电池阵/帆板</t>
        </is>
      </c>
      <c r="B25" s="33" t="n">
        <v>6.686288</v>
      </c>
      <c r="C25" s="34" t="inlineStr">
        <is>
          <t>474.173x712.167x91.667</t>
        </is>
      </c>
      <c r="D25" s="35" t="n">
        <v>0</v>
      </c>
      <c r="E25" s="35" t="n"/>
      <c r="F25" s="34" t="inlineStr">
        <is>
          <t>-180 ~ 130℃</t>
        </is>
      </c>
      <c r="G25" s="34" t="inlineStr">
        <is>
          <t>CATCH</t>
        </is>
      </c>
    </row>
    <row r="26" ht="24" customFormat="1" customHeight="1" s="1">
      <c r="A26" s="30" t="inlineStr">
        <is>
          <t>综合电子分系统</t>
        </is>
      </c>
      <c r="B26" s="31">
        <f>SUM(B27:B27)</f>
        <v/>
      </c>
      <c r="C26" s="31" t="n"/>
      <c r="D26" s="31">
        <f>SUM(D27:D27)</f>
        <v/>
      </c>
      <c r="E26" s="31">
        <f>SUM(E27:E27)</f>
        <v/>
      </c>
      <c r="F26" s="31" t="n"/>
      <c r="G26" s="31" t="n"/>
    </row>
    <row r="27" ht="24" customFormat="1" customHeight="1" s="1">
      <c r="A27" s="32" t="inlineStr">
        <is>
          <t>综合电子/星务电子箱候选（含安装板）</t>
        </is>
      </c>
      <c r="B27" s="33" t="n">
        <v>1.444314</v>
      </c>
      <c r="C27" s="34" t="inlineStr">
        <is>
          <t>234.061x144.261x198.03</t>
        </is>
      </c>
      <c r="D27" s="35" t="n">
        <v>12</v>
      </c>
      <c r="E27" s="35" t="n"/>
      <c r="F27" s="34" t="inlineStr">
        <is>
          <t>-40 ~ 85℃</t>
        </is>
      </c>
      <c r="G27" s="34" t="inlineStr">
        <is>
          <t>CATCH</t>
        </is>
      </c>
    </row>
    <row r="28" ht="24" customFormat="1" customHeight="1" s="1">
      <c r="A28" s="30" t="inlineStr">
        <is>
          <t>测控 / 数传一体机分系统</t>
        </is>
      </c>
      <c r="B28" s="31">
        <f>SUM(B29:B35)</f>
        <v/>
      </c>
      <c r="C28" s="31" t="n"/>
      <c r="D28" s="31">
        <f>SUM(D29:D35)</f>
        <v/>
      </c>
      <c r="E28" s="31">
        <f>SUM(E29:E35)</f>
        <v/>
      </c>
      <c r="F28" s="31" t="n"/>
      <c r="G28" s="31" t="n"/>
    </row>
    <row r="29" ht="24" customFormat="1" customHeight="1" s="1">
      <c r="A29" s="32" t="inlineStr">
        <is>
          <t>短报文/GNSS/专有电子盒候选</t>
        </is>
      </c>
      <c r="B29" s="33" t="n">
        <v>0.115733</v>
      </c>
      <c r="C29" s="34" t="inlineStr">
        <is>
          <t>114x94x50</t>
        </is>
      </c>
      <c r="D29" s="35" t="n">
        <v>0</v>
      </c>
      <c r="E29" s="35" t="n"/>
      <c r="F29" s="34" t="inlineStr">
        <is>
          <t>-40 ~ 85℃</t>
        </is>
      </c>
      <c r="G29" s="34" t="inlineStr">
        <is>
          <t>CATCH</t>
        </is>
      </c>
    </row>
    <row r="30" ht="24" customFormat="1" customHeight="1" s="1">
      <c r="A30" s="32" t="inlineStr">
        <is>
          <t>测控数传一体机 A / Z0001</t>
        </is>
      </c>
      <c r="B30" s="33" t="n">
        <v>0.101567</v>
      </c>
      <c r="C30" s="34" t="inlineStr">
        <is>
          <t>102.755x50.829x90.029</t>
        </is>
      </c>
      <c r="D30" s="35" t="n">
        <v>8</v>
      </c>
      <c r="E30" s="35" t="n"/>
      <c r="F30" s="34" t="inlineStr">
        <is>
          <t>-20 ~ 60℃</t>
        </is>
      </c>
      <c r="G30" s="34" t="inlineStr">
        <is>
          <t>CATCH</t>
        </is>
      </c>
    </row>
    <row r="31" ht="24" customHeight="1">
      <c r="A31" s="32" t="inlineStr">
        <is>
          <t>测控/数传/短报文天线候选 FXZY</t>
        </is>
      </c>
      <c r="B31" s="33" t="n">
        <v>0.05</v>
      </c>
      <c r="C31" s="34" t="inlineStr">
        <is>
          <t>25.28x73.781x34.044</t>
        </is>
      </c>
      <c r="D31" s="35" t="n">
        <v>0</v>
      </c>
      <c r="E31" s="35" t="n"/>
      <c r="F31" s="34" t="inlineStr">
        <is>
          <t>-40 ~ 85℃</t>
        </is>
      </c>
      <c r="G31" s="34" t="inlineStr">
        <is>
          <t>CATCH</t>
        </is>
      </c>
    </row>
    <row r="32" ht="24" customFormat="1" customHeight="1" s="1">
      <c r="A32" s="32" t="inlineStr">
        <is>
          <t>测控/数传/短报文天线候选 FXFY</t>
        </is>
      </c>
      <c r="B32" s="33" t="n">
        <v>0.05</v>
      </c>
      <c r="C32" s="34" t="inlineStr">
        <is>
          <t>25.28x78.781x34.044</t>
        </is>
      </c>
      <c r="D32" s="35" t="n">
        <v>0</v>
      </c>
      <c r="E32" s="35" t="n"/>
      <c r="F32" s="34" t="inlineStr">
        <is>
          <t>-40 ~ 85℃</t>
        </is>
      </c>
      <c r="G32" s="34" t="inlineStr">
        <is>
          <t>CATCH</t>
        </is>
      </c>
    </row>
    <row r="33" ht="24" customFormat="1" customHeight="1" s="1">
      <c r="A33" s="32" t="inlineStr">
        <is>
          <t>测控/数传/短报文天线候选 ZY</t>
        </is>
      </c>
      <c r="B33" s="33" t="n">
        <v>0.05</v>
      </c>
      <c r="C33" s="34" t="inlineStr">
        <is>
          <t>50x68.772x50</t>
        </is>
      </c>
      <c r="D33" s="35" t="n">
        <v>0</v>
      </c>
      <c r="E33" s="35" t="n"/>
      <c r="F33" s="34" t="inlineStr">
        <is>
          <t>-40 ~ 85℃</t>
        </is>
      </c>
      <c r="G33" s="34" t="inlineStr">
        <is>
          <t>CATCH</t>
        </is>
      </c>
    </row>
    <row r="34" ht="24" customFormat="1" customHeight="1" s="1">
      <c r="A34" s="32" t="inlineStr">
        <is>
          <t>测控数传一体机 B / Z0001</t>
        </is>
      </c>
      <c r="B34" s="33" t="n">
        <v>0.101567</v>
      </c>
      <c r="C34" s="34" t="inlineStr">
        <is>
          <t>102.755x50.829x90.029</t>
        </is>
      </c>
      <c r="D34" s="35" t="n">
        <v>8</v>
      </c>
      <c r="E34" s="35" t="n"/>
      <c r="F34" s="34" t="inlineStr">
        <is>
          <t>-20 ~ 60℃</t>
        </is>
      </c>
      <c r="G34" s="34" t="inlineStr">
        <is>
          <t>CATCH</t>
        </is>
      </c>
    </row>
    <row r="35" ht="24" customFormat="1" customHeight="1" s="1">
      <c r="A35" s="32" t="inlineStr">
        <is>
          <t>测控/数传/短报文天线候选 FY</t>
        </is>
      </c>
      <c r="B35" s="33" t="n">
        <v>0.05</v>
      </c>
      <c r="C35" s="34" t="inlineStr">
        <is>
          <t>50x68.772x50</t>
        </is>
      </c>
      <c r="D35" s="35" t="n">
        <v>0</v>
      </c>
      <c r="E35" s="35" t="n"/>
      <c r="F35" s="34" t="inlineStr">
        <is>
          <t>-40 ~ 85℃</t>
        </is>
      </c>
      <c r="G35" s="34" t="inlineStr">
        <is>
          <t>CATCH</t>
        </is>
      </c>
    </row>
    <row r="36" ht="24" customFormat="1" customHeight="1" s="1">
      <c r="A36" s="30" t="inlineStr">
        <is>
          <t>载荷分系统</t>
        </is>
      </c>
      <c r="B36" s="31">
        <f>SUM(B37:B39)</f>
        <v/>
      </c>
      <c r="C36" s="31" t="n"/>
      <c r="D36" s="31">
        <f>SUM(D37:D39)</f>
        <v/>
      </c>
      <c r="E36" s="31">
        <f>SUM(E37:E39)</f>
        <v/>
      </c>
      <c r="F36" s="31" t="n"/>
      <c r="G36" s="31" t="n"/>
    </row>
    <row r="37" ht="24" customFormat="1" customHeight="1" s="1">
      <c r="A37" s="32" t="inlineStr">
        <is>
          <t>载荷防污染/防尘机构</t>
        </is>
      </c>
      <c r="B37" s="33" t="n">
        <v>0.136299</v>
      </c>
      <c r="C37" s="34" t="inlineStr">
        <is>
          <t>12.525x203.825x247.175</t>
        </is>
      </c>
      <c r="D37" s="35" t="n">
        <v>0</v>
      </c>
      <c r="E37" s="35" t="n"/>
      <c r="F37" s="34" t="inlineStr">
        <is>
          <t>-100 ~ 90℃</t>
        </is>
      </c>
      <c r="G37" s="34" t="inlineStr">
        <is>
          <t>CATCH</t>
        </is>
      </c>
    </row>
    <row r="38" ht="24" customFormat="1" customHeight="1" s="1">
      <c r="A38" s="32" t="inlineStr">
        <is>
          <t>探测器机箱候选</t>
        </is>
      </c>
      <c r="B38" s="33" t="n">
        <v>0.758749</v>
      </c>
      <c r="C38" s="34" t="inlineStr">
        <is>
          <t>87.354x209.054x192.354</t>
        </is>
      </c>
      <c r="D38" s="35" t="n">
        <v>6</v>
      </c>
      <c r="E38" s="35" t="n"/>
      <c r="F38" s="34" t="inlineStr">
        <is>
          <t>-40 ~ 85℃</t>
        </is>
      </c>
      <c r="G38" s="34" t="inlineStr">
        <is>
          <t>CATCH</t>
        </is>
      </c>
    </row>
    <row r="39" ht="24" customFormat="1" customHeight="1" s="1">
      <c r="A39" s="32" t="inlineStr">
        <is>
          <t>小型相机/光学设备候选</t>
        </is>
      </c>
      <c r="B39" s="33" t="n">
        <v>0.249458</v>
      </c>
      <c r="C39" s="34" t="inlineStr">
        <is>
          <t>106.428x106.428x101.96</t>
        </is>
      </c>
      <c r="D39" s="35" t="n">
        <v>3</v>
      </c>
      <c r="E39" s="35" t="n"/>
      <c r="F39" s="34" t="inlineStr">
        <is>
          <t>-40 ~ 60℃</t>
        </is>
      </c>
      <c r="G39" s="34" t="inlineStr">
        <is>
          <t>CATCH</t>
        </is>
      </c>
    </row>
    <row r="40" ht="24" customFormat="1" customHeight="1" s="1">
      <c r="A40" s="32" t="n"/>
      <c r="B40" s="33" t="n"/>
      <c r="C40" s="34" t="n"/>
      <c r="D40" s="35" t="n"/>
      <c r="E40" s="35" t="n"/>
      <c r="F40" s="34" t="n"/>
      <c r="G40" s="34" t="n"/>
    </row>
    <row r="41" ht="24" customFormat="1" customHeight="1" s="1"/>
    <row r="42" ht="24" customFormat="1" customHeight="1" s="1"/>
    <row r="43" ht="24" customFormat="1" customHeight="1" s="1"/>
    <row r="44" ht="24" customFormat="1" customHeight="1" s="1"/>
    <row r="45" ht="24" customFormat="1" customHeight="1" s="1"/>
    <row r="46" ht="24" customHeight="1"/>
    <row r="47" ht="24" customFormat="1" customHeight="1" s="1"/>
    <row r="48" ht="24" customFormat="1" customHeight="1" s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14"/>
  <sheetViews>
    <sheetView workbookViewId="0">
      <selection activeCell="A1" sqref="A1"/>
    </sheetView>
  </sheetViews>
  <sheetFormatPr baseColWidth="8" defaultRowHeight="15"/>
  <cols>
    <col width="24.005" bestFit="1" customWidth="1" style="8" min="1" max="1"/>
    <col width="120.005" bestFit="1" customWidth="1" style="9" min="2" max="2"/>
  </cols>
  <sheetData>
    <row r="1" ht="18.75" customFormat="1" customHeight="1" s="1">
      <c r="A1" s="2" t="inlineStr">
        <is>
          <t>来源热仿真数据库</t>
        </is>
      </c>
      <c r="B1" s="3" t="inlineStr">
        <is>
          <t>/data/zxk/open_codex_web_dev_v2/backend/workflow_agents/thermal_skills/config-editor/references/热仿真数据库.json</t>
        </is>
      </c>
    </row>
    <row r="2" ht="18.75" customFormat="1" customHeight="1" s="1">
      <c r="A2" s="2" t="inlineStr">
        <is>
          <t>参考模板</t>
        </is>
      </c>
      <c r="B2" s="3" t="inlineStr">
        <is>
          <t>/data/zxk/open_codex_web_dev_v2/data/input_data/catch_task/配套表.xlsx</t>
        </is>
      </c>
    </row>
    <row r="3" ht="18.75" customFormat="1" customHeight="1" s="1">
      <c r="A3" s="2" t="inlineStr">
        <is>
          <t>CATCH manifest</t>
        </is>
      </c>
      <c r="B3" s="3" t="inlineStr">
        <is>
          <t>/data/zxk/open_codex_web_dev_v2/data/input_data/catch_task/docs/component_manifest.json</t>
        </is>
      </c>
    </row>
    <row r="4" ht="18.75" customFormat="1" customHeight="1" s="1">
      <c r="A4" s="2" t="inlineStr">
        <is>
          <t>生成文件</t>
        </is>
      </c>
      <c r="B4" s="3" t="inlineStr">
        <is>
          <t>/data/zxk/open_codex_web_dev_v2/data/input_data/catch_task/CATCH整星配套表.xlsx</t>
        </is>
      </c>
    </row>
    <row r="5" ht="18.75" customFormat="1" customHeight="1" s="1">
      <c r="A5" s="2" t="inlineStr">
        <is>
          <t>数据库 CATCH 记录数</t>
        </is>
      </c>
      <c r="B5" s="4" t="n">
        <v>37</v>
      </c>
    </row>
    <row r="6" ht="18.75" customFormat="1" customHeight="1" s="1">
      <c r="A6" s="2" t="inlineStr">
        <is>
          <t>manifest-only 补充记录数</t>
        </is>
      </c>
      <c r="B6" s="4" t="n">
        <v>1</v>
      </c>
    </row>
    <row r="7" ht="18.75" customFormat="1" customHeight="1" s="1">
      <c r="A7" s="2" t="inlineStr">
        <is>
          <t>总组件数</t>
        </is>
      </c>
      <c r="B7" s="4" t="n">
        <v>38</v>
      </c>
    </row>
    <row r="8" ht="18.75" customFormat="1" customHeight="1" s="1">
      <c r="A8" s="2" t="inlineStr">
        <is>
          <t>质量换算</t>
        </is>
      </c>
      <c r="B8" s="3" t="inlineStr">
        <is>
          <t>质量 g / 1000 -&gt; 重量（Kg）</t>
        </is>
      </c>
    </row>
    <row r="9" ht="18.75" customFormat="1" customHeight="1" s="1">
      <c r="A9" s="2" t="inlineStr">
        <is>
          <t>包络尺寸</t>
        </is>
      </c>
      <c r="B9" s="3" t="inlineStr">
        <is>
          <t>长 mm x 宽 mm x 高 mm；若数据库无尺寸则使用 manifest bbox</t>
        </is>
      </c>
    </row>
    <row r="10" ht="18.75" customFormat="1" customHeight="1" s="1">
      <c r="A10" s="2" t="inlineStr">
        <is>
          <t>稳态功耗</t>
        </is>
      </c>
      <c r="B10" s="3" t="inlineStr">
        <is>
          <t>主模式功耗，支持 W/mW 字符串解析</t>
        </is>
      </c>
    </row>
    <row r="11" ht="18.75" customFormat="1" customHeight="1" s="1">
      <c r="A11" s="2" t="inlineStr">
        <is>
          <t>峰值功耗</t>
        </is>
      </c>
      <c r="B11" s="3" t="inlineStr">
        <is>
          <t>校准/冷却/主模式中大于稳态的最大值；否则留空</t>
        </is>
      </c>
    </row>
    <row r="12" ht="18.75" customFormat="1" customHeight="1" s="1">
      <c r="A12" s="2" t="inlineStr">
        <is>
          <t>缺失提示</t>
        </is>
      </c>
      <c r="B12" s="3" t="inlineStr">
        <is>
          <t>黄色行表示仅在 component_manifest.json 中正式列出，热仿真数据库缺质量/功耗明细</t>
        </is>
      </c>
    </row>
    <row r="13" ht="18.75" customHeight="1">
      <c r="A13" s="5" t="inlineStr">
        <is>
          <t>总质量修正</t>
        </is>
      </c>
      <c r="B13" s="3" t="inlineStr">
        <is>
          <t>用户指定 CATCH 总质量为 44 kg；已列单机质量 19.384197 kg，新增修正质量 24.615803 kg。</t>
        </is>
      </c>
    </row>
    <row r="14" ht="18.75" customHeight="1">
      <c r="A14" s="8" t="inlineStr">
        <is>
          <t>质量等比例放大</t>
        </is>
      </c>
      <c r="B14" s="9" t="inlineStr">
        <is>
          <t>按用户要求删除补足行，将 37 个已有质量的器件从合计 19.384197 kg 按倍率 2.269890262 等比例放大到 44.000000 kg；无质量值的器件未参与缩放。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2026-06-16T08:20:55Z</dcterms:created>
  <dcterms:modified xsi:type="dcterms:W3CDTF">2026-06-24T03:29:57Z</dcterms:modified>
</cp:coreProperties>
</file>